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ntri\Assignments\Excel\"/>
    </mc:Choice>
  </mc:AlternateContent>
  <xr:revisionPtr revIDLastSave="0" documentId="13_ncr:1_{08974E1A-18F7-480D-ACA1-FD2FCC912C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Assignment (2)" sheetId="3" r:id="rId3"/>
    <sheet name="Sheet1" sheetId="4" r:id="rId4"/>
  </sheets>
  <definedNames>
    <definedName name="_xlnm._FilterDatabase" localSheetId="1" hidden="1">Dataset!$A$1:$F$35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12" i="4" l="1"/>
  <c r="F9" i="4"/>
  <c r="F10" i="4"/>
  <c r="F11" i="4"/>
  <c r="F13" i="4"/>
  <c r="F14" i="4"/>
  <c r="F15" i="4"/>
  <c r="F16" i="4"/>
  <c r="F17" i="4"/>
  <c r="F18" i="4"/>
  <c r="F19" i="4"/>
  <c r="F8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</calcChain>
</file>

<file path=xl/sharedStrings.xml><?xml version="1.0" encoding="utf-8"?>
<sst xmlns="http://schemas.openxmlformats.org/spreadsheetml/2006/main" count="355" uniqueCount="147">
  <si>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</si>
  <si>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</si>
  <si>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</si>
  <si>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</si>
  <si>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</si>
  <si>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</si>
  <si>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</si>
  <si>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</si>
  <si>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</si>
  <si>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</si>
  <si>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</si>
  <si>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</si>
  <si>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</si>
  <si>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</si>
  <si>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</si>
  <si>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</si>
  <si>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</si>
  <si>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</si>
  <si>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</si>
  <si>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</si>
  <si>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</si>
  <si>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</si>
  <si>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</si>
  <si>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</si>
  <si>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</si>
  <si>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</si>
  <si>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</si>
  <si>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</si>
  <si>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</si>
  <si>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</si>
  <si>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</si>
  <si>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</si>
  <si>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</si>
  <si>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</si>
  <si>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</si>
  <si>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</si>
  <si>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</si>
  <si>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</si>
  <si>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</si>
  <si>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</si>
  <si>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</si>
  <si>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</si>
  <si>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</si>
  <si>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</si>
  <si>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</si>
  <si>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</si>
  <si>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</si>
  <si>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</si>
  <si>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</si>
  <si>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</si>
  <si>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</si>
  <si>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</si>
  <si>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</si>
  <si>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</si>
  <si>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</si>
  <si>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</si>
  <si>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</si>
  <si>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</si>
  <si>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</si>
  <si>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</si>
  <si>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</si>
  <si>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</si>
  <si>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</si>
  <si>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</si>
  <si>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</si>
  <si>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</si>
  <si>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</si>
  <si>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</si>
  <si>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</si>
  <si>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</si>
  <si>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</si>
  <si>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</si>
  <si>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</si>
  <si>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</si>
  <si>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</si>
  <si>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</si>
  <si>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</si>
  <si>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</si>
  <si>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</si>
  <si>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</si>
  <si>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</si>
  <si>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</si>
  <si>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</si>
  <si>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</si>
  <si>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</si>
  <si>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</si>
  <si>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</si>
  <si>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</si>
  <si>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</si>
  <si>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</si>
  <si>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</si>
  <si>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</si>
  <si>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</si>
  <si>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</si>
  <si>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</si>
  <si>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</si>
  <si>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</si>
  <si>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</si>
  <si>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</si>
  <si>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</si>
  <si>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</si>
  <si>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</si>
  <si>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</si>
  <si>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</si>
  <si>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</si>
  <si>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</si>
  <si>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</si>
  <si>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</si>
  <si>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</si>
  <si>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</si>
  <si>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</si>
  <si>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</si>
  <si>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</si>
  <si>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</si>
  <si>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</si>
  <si>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</si>
  <si>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• There is a Typos present in the "Category" column.</t>
  </si>
  <si>
    <t>• Identified Inconsistent text formats in the "Product Name" column.</t>
  </si>
  <si>
    <t>out</t>
  </si>
  <si>
    <t>• There are some products with missing categories,and deal with those missing categories based on same products</t>
  </si>
  <si>
    <t>and backpack comes under bag category,so filled by accessories.</t>
  </si>
  <si>
    <t xml:space="preserve">• Missing values in the 'Price' column handled using the following formula </t>
  </si>
  <si>
    <t>"=IF(D2="", IFERROR(AVERAGEIF($B$2:$B$32, B2, $D$2:$D$32), AVERAGEIF($F$2:$F$32, F2, $D$2:$D$32)), D2)"</t>
  </si>
  <si>
    <t>• Three Duplicate rows found within the dataset based on the entirety of each row, and removed them.</t>
  </si>
  <si>
    <t>Summary</t>
  </si>
  <si>
    <t>Manufacturing Date</t>
  </si>
  <si>
    <t>Country Code</t>
  </si>
  <si>
    <t>UK</t>
  </si>
  <si>
    <t>AU</t>
  </si>
  <si>
    <t>IT</t>
  </si>
  <si>
    <t>ES</t>
  </si>
  <si>
    <t>FR</t>
  </si>
  <si>
    <t>US</t>
  </si>
  <si>
    <t>CA</t>
  </si>
  <si>
    <t>IN</t>
  </si>
  <si>
    <t>CN</t>
  </si>
  <si>
    <t>DE</t>
  </si>
  <si>
    <t>RU</t>
  </si>
  <si>
    <t>BR</t>
  </si>
  <si>
    <t>Product Brand</t>
  </si>
  <si>
    <t>• "Product ID" column Splited into two separate columns named as " Manufacturing Date" and "Country Code".</t>
  </si>
  <si>
    <t>• Using Find and replace function, the text formats in the "Product Name" column and typos in the "Category" column are corrected.</t>
  </si>
  <si>
    <t>• "Brand Name" and "Product Name" columns Merged into one column named "Product Brand".</t>
  </si>
  <si>
    <t xml:space="preserve">• Data type of the "Price" column formatted to currency format. </t>
  </si>
  <si>
    <t xml:space="preserve">• "Manufacturing Date" column formatted as "DD-MM-YYYY " format. </t>
  </si>
  <si>
    <t>• Applied data bar conditional formatting in the "Price" column.</t>
  </si>
  <si>
    <t>• Created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</si>
</sst>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"/>
  </numFmts>
  <fonts count="16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rgb="FF4DD0E1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0" fillId="0" borderId="0" xfId="0" applyFont="1"/>
    <xf numFmtId="0" fontId="11" fillId="0" borderId="0" xfId="0" applyFont="1"/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8" fillId="3" borderId="0" xfId="0" applyFont="1" applyFill="1"/>
    <xf numFmtId="0" fontId="11" fillId="0" borderId="4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2" fillId="4" borderId="0" xfId="0" applyFont="1" applyFill="1"/>
    <xf numFmtId="0" fontId="14" fillId="0" borderId="0" xfId="0" applyFont="1"/>
    <xf numFmtId="0" fontId="9" fillId="5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4" fontId="11" fillId="0" borderId="1" xfId="0" applyNumberFormat="1" applyFont="1" applyBorder="1" applyAlignment="1">
      <alignment horizontal="right"/>
    </xf>
    <xf numFmtId="164" fontId="11" fillId="0" borderId="1" xfId="0" applyNumberFormat="1" applyFont="1" applyBorder="1" applyAlignment="1">
      <alignment horizontal="right"/>
    </xf>
    <xf numFmtId="0" fontId="11" fillId="6" borderId="1" xfId="0" applyFon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$-409]#,##0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8" tint="0.39994506668294322"/>
        </patternFill>
      </fill>
    </dxf>
  </dxfs>
  <tableStyles count="1" defaultTableStyle="Table Style 1" defaultPivotStyle="PivotStyleLight16">
    <tableStyle name="Table Style 1" pivot="0" count="0" xr9:uid="{AB16BD6A-8884-443A-B15C-1B7A9EB4B9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EB2021-A512-4A60-9575-284E858868F2}" name="Table1" displayName="Table1" ref="A1:I32" totalsRowShown="0" headerRowDxfId="13" dataDxfId="12" headerRowBorderDxfId="10" tableBorderDxfId="11" totalsRowBorderDxfId="9">
  <autoFilter ref="A1:I32" xr:uid="{CAEB2021-A512-4A60-9575-284E858868F2}"/>
  <sortState xmlns:xlrd2="http://schemas.microsoft.com/office/spreadsheetml/2017/richdata2" ref="A2:F32">
    <sortCondition ref="C1:C32"/>
  </sortState>
  <tableColumns count="9">
    <tableColumn id="1" xr3:uid="{0330655C-6FF2-4C7F-A638-D96A85CF12B7}" name="Product ID" dataDxfId="8"/>
    <tableColumn id="2" xr3:uid="{A229CA58-8C98-4E1E-A576-C0816FB7A316}" name="Product Name" dataDxfId="7"/>
    <tableColumn id="3" xr3:uid="{A438C6FA-122D-4FC6-B1E3-683C460DE151}" name="Brand Name" dataDxfId="6"/>
    <tableColumn id="4" xr3:uid="{9279A2C4-FF3B-4B47-8BC1-DEEE657EBD82}" name="Price ($)" dataDxfId="5"/>
    <tableColumn id="5" xr3:uid="{07C2CB4A-3395-4EA4-85AF-42AD4D0A6033}" name="Quantity" dataDxfId="4"/>
    <tableColumn id="6" xr3:uid="{7318E86B-4EF0-44B6-933F-91BA878FC201}" name="Category" dataDxfId="3"/>
    <tableColumn id="11" xr3:uid="{C6953F97-71FA-4A8A-8452-CD4427F3099E}" name="Manufacturing Date" dataDxfId="2"/>
    <tableColumn id="12" xr3:uid="{F2526F4C-CC70-4372-9FB6-0E8DB17401AD}" name="Country Code" dataDxfId="1"/>
    <tableColumn id="13" xr3:uid="{CEA59E76-46D5-4BB3-9FAF-75D3C13570CE}" name="Product Brand" dataDxfId="0">
      <calculatedColumnFormula>B2&amp;","&amp;C2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C85678-312B-409E-9BCA-ED2BAC44D3B9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UAgnaJIIRn2xH8v3-0ZdK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D11" sqref="D11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13" t="s">
        <v>1</v>
      </c>
    </row>
    <row r="4" spans="1:11" ht="15.75" customHeight="1" x14ac:dyDescent="0.3">
      <c r="C4" s="14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13" sqref="F13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15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15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E319-667C-4E77-B380-ABFCB4535D64}">
  <sheetPr>
    <outlinePr summaryBelow="0" summaryRight="0"/>
  </sheetPr>
  <dimension ref="A1:R1000"/>
  <sheetViews>
    <sheetView workbookViewId="0">
      <pane ySplit="1" topLeftCell="A2" activePane="bottomLeft" state="frozen"/>
      <selection pane="bottomLeft" activeCell="G9" sqref="G9"/>
    </sheetView>
  </sheetViews>
  <sheetFormatPr defaultColWidth="12.6640625" defaultRowHeight="15" customHeight="1" x14ac:dyDescent="0.3"/>
  <cols>
    <col min="1" max="1" width="14.33203125" style="9" bestFit="1" customWidth="1"/>
    <col min="2" max="2" width="17.6640625" style="9" bestFit="1" customWidth="1"/>
    <col min="3" max="3" width="15.88671875" style="9" bestFit="1" customWidth="1"/>
    <col min="4" max="4" width="12.33203125" style="9" bestFit="1" customWidth="1"/>
    <col min="5" max="5" width="12.77734375" style="9" bestFit="1" customWidth="1"/>
    <col min="6" max="6" width="13" style="9" bestFit="1" customWidth="1"/>
    <col min="7" max="7" width="22.5546875" style="9" bestFit="1" customWidth="1"/>
    <col min="8" max="8" width="17" style="9" bestFit="1" customWidth="1"/>
    <col min="9" max="9" width="21.6640625" style="9" bestFit="1" customWidth="1"/>
    <col min="10" max="10" width="12.6640625" style="9"/>
    <col min="11" max="11" width="10" style="9" customWidth="1"/>
    <col min="12" max="12" width="118.6640625" style="9" bestFit="1" customWidth="1"/>
    <col min="13" max="16384" width="12.6640625" style="9"/>
  </cols>
  <sheetData>
    <row r="1" spans="1:18" ht="15.75" customHeight="1" x14ac:dyDescent="0.3">
      <c r="A1" s="11" t="s">
        <v>19</v>
      </c>
      <c r="B1" s="12" t="s">
        <v>20</v>
      </c>
      <c r="C1" s="12" t="s">
        <v>21</v>
      </c>
      <c r="D1" s="21" t="s">
        <v>22</v>
      </c>
      <c r="E1" s="12" t="s">
        <v>23</v>
      </c>
      <c r="F1" s="22" t="s">
        <v>24</v>
      </c>
      <c r="G1" s="23" t="s">
        <v>125</v>
      </c>
      <c r="H1" s="23" t="s">
        <v>126</v>
      </c>
      <c r="I1" s="23" t="s">
        <v>139</v>
      </c>
      <c r="K1" s="19" t="s">
        <v>124</v>
      </c>
    </row>
    <row r="2" spans="1:18" ht="15.75" customHeight="1" x14ac:dyDescent="0.3">
      <c r="A2" s="16" t="s">
        <v>47</v>
      </c>
      <c r="B2" s="17" t="s">
        <v>48</v>
      </c>
      <c r="C2" s="17" t="s">
        <v>49</v>
      </c>
      <c r="D2" s="25">
        <v>30</v>
      </c>
      <c r="E2" s="18">
        <v>5</v>
      </c>
      <c r="F2" s="17" t="s">
        <v>32</v>
      </c>
      <c r="G2" s="24">
        <v>45857</v>
      </c>
      <c r="H2" s="17" t="s">
        <v>127</v>
      </c>
      <c r="I2" s="17" t="str">
        <f t="shared" ref="I2:I32" si="0">B2&amp;","&amp;C2</f>
        <v>T-shirt,Adidas</v>
      </c>
      <c r="K2" s="13" t="s">
        <v>1</v>
      </c>
      <c r="L2"/>
    </row>
    <row r="3" spans="1:18" ht="15.75" customHeight="1" x14ac:dyDescent="0.3">
      <c r="A3" s="16" t="s">
        <v>63</v>
      </c>
      <c r="B3" s="17" t="s">
        <v>30</v>
      </c>
      <c r="C3" s="17" t="s">
        <v>49</v>
      </c>
      <c r="D3" s="25">
        <v>90</v>
      </c>
      <c r="E3" s="18">
        <v>40</v>
      </c>
      <c r="F3" s="17" t="s">
        <v>32</v>
      </c>
      <c r="G3" s="24">
        <v>45986</v>
      </c>
      <c r="H3" s="17" t="s">
        <v>128</v>
      </c>
      <c r="I3" s="17" t="str">
        <f t="shared" si="0"/>
        <v>Sneakers,Adidas</v>
      </c>
      <c r="K3"/>
      <c r="L3" s="14" t="s">
        <v>121</v>
      </c>
      <c r="M3" s="10"/>
      <c r="N3" s="10"/>
      <c r="O3" s="10"/>
      <c r="P3" s="10"/>
      <c r="Q3" s="10"/>
      <c r="R3" s="10"/>
    </row>
    <row r="4" spans="1:18" ht="15.75" customHeight="1" x14ac:dyDescent="0.3">
      <c r="A4" s="16" t="s">
        <v>53</v>
      </c>
      <c r="B4" s="17" t="s">
        <v>54</v>
      </c>
      <c r="C4" s="17" t="s">
        <v>55</v>
      </c>
      <c r="D4" s="25">
        <v>500</v>
      </c>
      <c r="E4" s="18">
        <v>50</v>
      </c>
      <c r="F4" s="17" t="s">
        <v>28</v>
      </c>
      <c r="G4" s="24">
        <v>45905</v>
      </c>
      <c r="H4" s="17" t="s">
        <v>127</v>
      </c>
      <c r="I4" s="17" t="str">
        <f t="shared" si="0"/>
        <v>Tablet,Apple</v>
      </c>
      <c r="L4" s="20" t="s">
        <v>122</v>
      </c>
      <c r="M4" s="10"/>
      <c r="N4" s="10"/>
      <c r="O4" s="10"/>
      <c r="P4" s="10"/>
      <c r="Q4" s="10"/>
      <c r="R4" s="10"/>
    </row>
    <row r="5" spans="1:18" ht="15.75" customHeight="1" x14ac:dyDescent="0.3">
      <c r="A5" s="16" t="s">
        <v>78</v>
      </c>
      <c r="B5" s="17" t="s">
        <v>61</v>
      </c>
      <c r="C5" s="17" t="s">
        <v>79</v>
      </c>
      <c r="D5" s="25">
        <v>980</v>
      </c>
      <c r="E5" s="18">
        <v>10</v>
      </c>
      <c r="F5" s="17" t="s">
        <v>28</v>
      </c>
      <c r="G5" s="24">
        <v>45684</v>
      </c>
      <c r="H5" s="17" t="s">
        <v>129</v>
      </c>
      <c r="I5" s="17" t="str">
        <f t="shared" si="0"/>
        <v>Laptop,Asus</v>
      </c>
      <c r="K5" s="4"/>
      <c r="L5" s="3" t="s">
        <v>119</v>
      </c>
      <c r="M5" s="10"/>
      <c r="N5" s="10"/>
      <c r="O5" s="10"/>
      <c r="P5" s="10"/>
      <c r="Q5" s="10"/>
      <c r="R5" s="10"/>
    </row>
    <row r="6" spans="1:18" ht="15.75" customHeight="1" x14ac:dyDescent="0.3">
      <c r="A6" s="16" t="s">
        <v>69</v>
      </c>
      <c r="B6" s="17" t="s">
        <v>44</v>
      </c>
      <c r="C6" s="17" t="s">
        <v>71</v>
      </c>
      <c r="D6" s="25">
        <v>250</v>
      </c>
      <c r="E6" s="18">
        <v>20</v>
      </c>
      <c r="F6" s="17" t="s">
        <v>28</v>
      </c>
      <c r="G6" s="24">
        <v>45763</v>
      </c>
      <c r="H6" s="17" t="s">
        <v>130</v>
      </c>
      <c r="I6" s="17" t="str">
        <f t="shared" si="0"/>
        <v>Headphones,Bose</v>
      </c>
      <c r="K6" s="4"/>
      <c r="L6" s="14" t="s">
        <v>120</v>
      </c>
    </row>
    <row r="7" spans="1:18" ht="15.75" customHeight="1" x14ac:dyDescent="0.3">
      <c r="A7" s="16" t="s">
        <v>113</v>
      </c>
      <c r="B7" s="17" t="s">
        <v>114</v>
      </c>
      <c r="C7" s="17" t="s">
        <v>115</v>
      </c>
      <c r="D7" s="25">
        <v>100</v>
      </c>
      <c r="E7" s="18">
        <v>20</v>
      </c>
      <c r="F7" s="17" t="s">
        <v>75</v>
      </c>
      <c r="G7" s="24">
        <v>45847</v>
      </c>
      <c r="H7" s="17" t="s">
        <v>131</v>
      </c>
      <c r="I7" s="17" t="str">
        <f t="shared" si="0"/>
        <v>Watch,Casio</v>
      </c>
    </row>
    <row r="8" spans="1:18" ht="15.75" customHeight="1" x14ac:dyDescent="0.3">
      <c r="A8" s="16" t="s">
        <v>83</v>
      </c>
      <c r="B8" s="17" t="s">
        <v>84</v>
      </c>
      <c r="C8" s="17" t="s">
        <v>85</v>
      </c>
      <c r="D8" s="25">
        <v>130</v>
      </c>
      <c r="E8" s="18">
        <v>10</v>
      </c>
      <c r="F8" s="17" t="s">
        <v>59</v>
      </c>
      <c r="G8" s="24">
        <v>45883</v>
      </c>
      <c r="H8" s="17" t="s">
        <v>132</v>
      </c>
      <c r="I8" s="17" t="str">
        <f t="shared" si="0"/>
        <v>Camping Tent,Coleman</v>
      </c>
      <c r="K8" s="2" t="s">
        <v>4</v>
      </c>
      <c r="L8"/>
    </row>
    <row r="9" spans="1:18" ht="15.75" customHeight="1" x14ac:dyDescent="0.3">
      <c r="A9" s="16" t="s">
        <v>25</v>
      </c>
      <c r="B9" s="17" t="s">
        <v>61</v>
      </c>
      <c r="C9" s="17" t="s">
        <v>27</v>
      </c>
      <c r="D9" s="25">
        <v>1000</v>
      </c>
      <c r="E9" s="18">
        <v>30</v>
      </c>
      <c r="F9" s="17" t="s">
        <v>28</v>
      </c>
      <c r="G9" s="24">
        <v>45685</v>
      </c>
      <c r="H9" s="17" t="s">
        <v>132</v>
      </c>
      <c r="I9" s="17" t="str">
        <f t="shared" si="0"/>
        <v>Laptop,Dell</v>
      </c>
      <c r="K9"/>
      <c r="L9" s="14" t="s">
        <v>117</v>
      </c>
    </row>
    <row r="10" spans="1:18" ht="15.75" customHeight="1" x14ac:dyDescent="0.3">
      <c r="A10" s="16" t="s">
        <v>66</v>
      </c>
      <c r="B10" s="17" t="s">
        <v>67</v>
      </c>
      <c r="C10" s="17" t="s">
        <v>68</v>
      </c>
      <c r="D10" s="25">
        <v>150</v>
      </c>
      <c r="E10" s="18">
        <v>15</v>
      </c>
      <c r="F10" s="17" t="s">
        <v>28</v>
      </c>
      <c r="G10" s="24">
        <v>45706</v>
      </c>
      <c r="H10" s="17" t="s">
        <v>133</v>
      </c>
      <c r="I10" s="17" t="str">
        <f t="shared" si="0"/>
        <v>Smartwatch,Fitbit</v>
      </c>
      <c r="K10"/>
      <c r="L10" s="14" t="s">
        <v>116</v>
      </c>
    </row>
    <row r="11" spans="1:18" ht="15.75" customHeight="1" x14ac:dyDescent="0.3">
      <c r="A11" s="16" t="s">
        <v>108</v>
      </c>
      <c r="B11" s="17" t="s">
        <v>93</v>
      </c>
      <c r="C11" s="17" t="s">
        <v>109</v>
      </c>
      <c r="D11" s="25">
        <v>130</v>
      </c>
      <c r="E11" s="18">
        <v>5</v>
      </c>
      <c r="F11" s="17" t="s">
        <v>28</v>
      </c>
      <c r="G11" s="24">
        <v>45801</v>
      </c>
      <c r="H11" s="17" t="s">
        <v>133</v>
      </c>
      <c r="I11" s="17" t="str">
        <f t="shared" si="0"/>
        <v>Fitness Tracker,Garmin</v>
      </c>
      <c r="K11"/>
      <c r="L11" s="14" t="s">
        <v>141</v>
      </c>
    </row>
    <row r="12" spans="1:18" ht="15.75" customHeight="1" x14ac:dyDescent="0.3">
      <c r="A12" s="16" t="s">
        <v>95</v>
      </c>
      <c r="B12" s="17" t="s">
        <v>96</v>
      </c>
      <c r="C12" s="17" t="s">
        <v>97</v>
      </c>
      <c r="D12" s="25">
        <v>800</v>
      </c>
      <c r="E12" s="18">
        <v>45</v>
      </c>
      <c r="F12" s="17" t="s">
        <v>28</v>
      </c>
      <c r="G12" s="24">
        <v>45929</v>
      </c>
      <c r="H12" s="17" t="s">
        <v>133</v>
      </c>
      <c r="I12" s="17" t="str">
        <f t="shared" si="0"/>
        <v>Smartphone,Google</v>
      </c>
      <c r="K12" s="4"/>
      <c r="L12"/>
    </row>
    <row r="13" spans="1:18" ht="15.75" customHeight="1" x14ac:dyDescent="0.3">
      <c r="A13" s="16" t="s">
        <v>105</v>
      </c>
      <c r="B13" s="17" t="s">
        <v>106</v>
      </c>
      <c r="C13" s="17" t="s">
        <v>107</v>
      </c>
      <c r="D13" s="25">
        <v>40</v>
      </c>
      <c r="E13" s="18">
        <v>10</v>
      </c>
      <c r="F13" s="17" t="s">
        <v>36</v>
      </c>
      <c r="G13" s="24">
        <v>45760</v>
      </c>
      <c r="H13" s="17" t="s">
        <v>133</v>
      </c>
      <c r="I13" s="17" t="str">
        <f t="shared" si="0"/>
        <v>Toaster,Hamilton</v>
      </c>
      <c r="K13" s="2" t="s">
        <v>8</v>
      </c>
      <c r="L13"/>
    </row>
    <row r="14" spans="1:18" ht="15.75" customHeight="1" x14ac:dyDescent="0.3">
      <c r="A14" s="16" t="s">
        <v>60</v>
      </c>
      <c r="B14" s="17" t="s">
        <v>61</v>
      </c>
      <c r="C14" s="17" t="s">
        <v>62</v>
      </c>
      <c r="D14" s="25">
        <v>950</v>
      </c>
      <c r="E14" s="18">
        <v>25</v>
      </c>
      <c r="F14" s="17" t="s">
        <v>28</v>
      </c>
      <c r="G14" s="24">
        <v>45825</v>
      </c>
      <c r="H14" s="17" t="s">
        <v>134</v>
      </c>
      <c r="I14" s="17" t="str">
        <f t="shared" si="0"/>
        <v>Laptop,HP</v>
      </c>
      <c r="K14" s="2"/>
      <c r="L14" s="14" t="s">
        <v>123</v>
      </c>
    </row>
    <row r="15" spans="1:18" ht="15.75" customHeight="1" x14ac:dyDescent="0.3">
      <c r="A15" s="16" t="s">
        <v>76</v>
      </c>
      <c r="B15" s="17" t="s">
        <v>67</v>
      </c>
      <c r="C15" s="17" t="s">
        <v>77</v>
      </c>
      <c r="D15" s="25">
        <v>160</v>
      </c>
      <c r="E15" s="18">
        <v>15</v>
      </c>
      <c r="F15" s="17" t="s">
        <v>28</v>
      </c>
      <c r="G15" s="24">
        <v>45889</v>
      </c>
      <c r="H15" s="17" t="s">
        <v>135</v>
      </c>
      <c r="I15" s="17" t="str">
        <f t="shared" si="0"/>
        <v>Smartwatch,Huawei</v>
      </c>
      <c r="K15"/>
      <c r="L15"/>
    </row>
    <row r="16" spans="1:18" ht="15.75" customHeight="1" x14ac:dyDescent="0.3">
      <c r="A16" s="16" t="s">
        <v>33</v>
      </c>
      <c r="B16" s="17" t="s">
        <v>34</v>
      </c>
      <c r="C16" s="17" t="s">
        <v>35</v>
      </c>
      <c r="D16" s="25">
        <v>130</v>
      </c>
      <c r="E16" s="18">
        <v>40</v>
      </c>
      <c r="F16" s="17" t="s">
        <v>36</v>
      </c>
      <c r="G16" s="24">
        <v>45719</v>
      </c>
      <c r="H16" s="17" t="s">
        <v>132</v>
      </c>
      <c r="I16" s="17" t="str">
        <f t="shared" si="0"/>
        <v>Coffee Maker,Keurig</v>
      </c>
      <c r="K16" s="2" t="s">
        <v>10</v>
      </c>
      <c r="L16" s="5"/>
    </row>
    <row r="17" spans="1:12" ht="15.75" customHeight="1" x14ac:dyDescent="0.3">
      <c r="A17" s="16" t="s">
        <v>110</v>
      </c>
      <c r="B17" s="17" t="s">
        <v>111</v>
      </c>
      <c r="C17" s="17" t="s">
        <v>112</v>
      </c>
      <c r="D17" s="25">
        <v>50</v>
      </c>
      <c r="E17" s="18">
        <v>50</v>
      </c>
      <c r="F17" s="17" t="s">
        <v>32</v>
      </c>
      <c r="G17" s="24">
        <v>45993</v>
      </c>
      <c r="H17" s="17" t="s">
        <v>133</v>
      </c>
      <c r="I17" s="17" t="str">
        <f t="shared" si="0"/>
        <v>Jeans,Levi's</v>
      </c>
      <c r="K17" s="5"/>
      <c r="L17" s="14" t="s">
        <v>140</v>
      </c>
    </row>
    <row r="18" spans="1:12" ht="15.75" customHeight="1" x14ac:dyDescent="0.3">
      <c r="A18" s="16" t="s">
        <v>64</v>
      </c>
      <c r="B18" s="17" t="s">
        <v>34</v>
      </c>
      <c r="C18" s="17" t="s">
        <v>65</v>
      </c>
      <c r="D18" s="25">
        <v>120</v>
      </c>
      <c r="E18" s="18">
        <v>35</v>
      </c>
      <c r="F18" s="17" t="s">
        <v>36</v>
      </c>
      <c r="G18" s="24">
        <v>45999</v>
      </c>
      <c r="H18" s="17" t="s">
        <v>136</v>
      </c>
      <c r="I18" s="17" t="str">
        <f t="shared" si="0"/>
        <v>Coffee Maker,Nespresso</v>
      </c>
      <c r="K18" s="5"/>
      <c r="L18" s="14" t="s">
        <v>142</v>
      </c>
    </row>
    <row r="19" spans="1:12" ht="15.75" customHeight="1" x14ac:dyDescent="0.3">
      <c r="A19" s="16" t="s">
        <v>29</v>
      </c>
      <c r="B19" s="17" t="s">
        <v>30</v>
      </c>
      <c r="C19" s="17" t="s">
        <v>31</v>
      </c>
      <c r="D19" s="25">
        <v>80</v>
      </c>
      <c r="E19" s="18">
        <v>15</v>
      </c>
      <c r="F19" s="17" t="s">
        <v>32</v>
      </c>
      <c r="G19" s="24">
        <v>45703</v>
      </c>
      <c r="H19" s="17" t="s">
        <v>132</v>
      </c>
      <c r="I19" s="17" t="str">
        <f t="shared" si="0"/>
        <v>Sneakers,Nike</v>
      </c>
      <c r="K19" s="5"/>
      <c r="L19" s="5"/>
    </row>
    <row r="20" spans="1:12" ht="15.75" customHeight="1" x14ac:dyDescent="0.3">
      <c r="A20" s="16" t="s">
        <v>86</v>
      </c>
      <c r="B20" s="17" t="s">
        <v>87</v>
      </c>
      <c r="C20" s="17" t="s">
        <v>88</v>
      </c>
      <c r="D20" s="25">
        <v>700</v>
      </c>
      <c r="E20" s="18">
        <v>50</v>
      </c>
      <c r="F20" s="17" t="s">
        <v>28</v>
      </c>
      <c r="G20" s="24">
        <v>45791</v>
      </c>
      <c r="H20" s="17" t="s">
        <v>137</v>
      </c>
      <c r="I20" s="17" t="str">
        <f t="shared" si="0"/>
        <v>Camera,Nikon</v>
      </c>
      <c r="K20" s="2" t="s">
        <v>13</v>
      </c>
      <c r="L20" s="5"/>
    </row>
    <row r="21" spans="1:12" ht="15.75" customHeight="1" x14ac:dyDescent="0.3">
      <c r="A21" s="16" t="s">
        <v>50</v>
      </c>
      <c r="B21" s="17" t="s">
        <v>51</v>
      </c>
      <c r="C21" s="17" t="s">
        <v>52</v>
      </c>
      <c r="D21" s="25">
        <v>90</v>
      </c>
      <c r="E21" s="18">
        <v>35</v>
      </c>
      <c r="F21" s="17" t="s">
        <v>36</v>
      </c>
      <c r="G21" s="24">
        <v>45892</v>
      </c>
      <c r="H21" s="17" t="s">
        <v>127</v>
      </c>
      <c r="I21" s="17" t="str">
        <f t="shared" si="0"/>
        <v>Blender,Ninja</v>
      </c>
      <c r="K21" s="5"/>
      <c r="L21" s="14" t="s">
        <v>143</v>
      </c>
    </row>
    <row r="22" spans="1:12" ht="15.75" customHeight="1" x14ac:dyDescent="0.3">
      <c r="A22" s="16" t="s">
        <v>40</v>
      </c>
      <c r="B22" s="17" t="s">
        <v>41</v>
      </c>
      <c r="C22" s="17" t="s">
        <v>42</v>
      </c>
      <c r="D22" s="25">
        <v>70</v>
      </c>
      <c r="E22" s="18">
        <v>20</v>
      </c>
      <c r="F22" s="17" t="s">
        <v>75</v>
      </c>
      <c r="G22" s="24">
        <v>45799</v>
      </c>
      <c r="H22" s="17" t="s">
        <v>132</v>
      </c>
      <c r="I22" s="17" t="str">
        <f t="shared" si="0"/>
        <v>Backpack,North Face</v>
      </c>
      <c r="K22" s="5"/>
      <c r="L22" s="14" t="s">
        <v>144</v>
      </c>
    </row>
    <row r="23" spans="1:12" ht="15.75" customHeight="1" x14ac:dyDescent="0.3">
      <c r="A23" s="16" t="s">
        <v>80</v>
      </c>
      <c r="B23" s="17" t="s">
        <v>81</v>
      </c>
      <c r="C23" s="17" t="s">
        <v>82</v>
      </c>
      <c r="D23" s="25">
        <v>150</v>
      </c>
      <c r="E23" s="18">
        <v>15</v>
      </c>
      <c r="F23" s="17" t="s">
        <v>32</v>
      </c>
      <c r="G23" s="24">
        <v>45717</v>
      </c>
      <c r="H23" s="17" t="s">
        <v>127</v>
      </c>
      <c r="I23" s="17" t="str">
        <f t="shared" si="0"/>
        <v>Sunglasses,Oakley</v>
      </c>
      <c r="K23" s="5"/>
      <c r="L23" s="5"/>
    </row>
    <row r="24" spans="1:12" ht="15.75" customHeight="1" x14ac:dyDescent="0.3">
      <c r="A24" s="16" t="s">
        <v>89</v>
      </c>
      <c r="B24" s="17" t="s">
        <v>90</v>
      </c>
      <c r="C24" s="17" t="s">
        <v>91</v>
      </c>
      <c r="D24" s="25">
        <v>80</v>
      </c>
      <c r="E24" s="18">
        <v>20</v>
      </c>
      <c r="F24" s="17" t="s">
        <v>36</v>
      </c>
      <c r="G24" s="24">
        <v>45666</v>
      </c>
      <c r="H24" s="17" t="s">
        <v>133</v>
      </c>
      <c r="I24" s="17" t="str">
        <f t="shared" si="0"/>
        <v>Microwave,Panasonic</v>
      </c>
      <c r="K24" s="2" t="s">
        <v>16</v>
      </c>
      <c r="L24" s="5"/>
    </row>
    <row r="25" spans="1:12" ht="15.75" customHeight="1" x14ac:dyDescent="0.3">
      <c r="A25" s="16" t="s">
        <v>98</v>
      </c>
      <c r="B25" s="17" t="s">
        <v>81</v>
      </c>
      <c r="C25" s="17" t="s">
        <v>99</v>
      </c>
      <c r="D25" s="25">
        <v>150</v>
      </c>
      <c r="E25" s="18">
        <v>25</v>
      </c>
      <c r="F25" s="17" t="s">
        <v>32</v>
      </c>
      <c r="G25" s="24">
        <v>45811</v>
      </c>
      <c r="H25" s="17" t="s">
        <v>133</v>
      </c>
      <c r="I25" s="17" t="str">
        <f t="shared" si="0"/>
        <v>Sunglasses,Ray-Ban</v>
      </c>
      <c r="K25" s="5"/>
      <c r="L25" s="14" t="s">
        <v>145</v>
      </c>
    </row>
    <row r="26" spans="1:12" ht="15.75" customHeight="1" x14ac:dyDescent="0.3">
      <c r="A26" s="16" t="s">
        <v>72</v>
      </c>
      <c r="B26" s="17" t="s">
        <v>73</v>
      </c>
      <c r="C26" s="17" t="s">
        <v>74</v>
      </c>
      <c r="D26" s="25">
        <v>50</v>
      </c>
      <c r="E26" s="18">
        <v>35</v>
      </c>
      <c r="F26" s="17" t="s">
        <v>75</v>
      </c>
      <c r="G26" s="24">
        <v>45890</v>
      </c>
      <c r="H26" s="17" t="s">
        <v>133</v>
      </c>
      <c r="I26" s="17" t="str">
        <f t="shared" si="0"/>
        <v>Laptop Bag,Samsonite</v>
      </c>
      <c r="K26" s="5"/>
      <c r="L26" s="14" t="s">
        <v>146</v>
      </c>
    </row>
    <row r="27" spans="1:12" ht="15.75" customHeight="1" x14ac:dyDescent="0.3">
      <c r="A27" s="16" t="s">
        <v>37</v>
      </c>
      <c r="B27" s="17" t="s">
        <v>96</v>
      </c>
      <c r="C27" s="17" t="s">
        <v>39</v>
      </c>
      <c r="D27" s="25">
        <v>900</v>
      </c>
      <c r="E27" s="18">
        <v>25</v>
      </c>
      <c r="F27" s="17" t="s">
        <v>28</v>
      </c>
      <c r="G27" s="24">
        <v>45758</v>
      </c>
      <c r="H27" s="17" t="s">
        <v>132</v>
      </c>
      <c r="I27" s="17" t="str">
        <f t="shared" si="0"/>
        <v>Smartphone,Samsung</v>
      </c>
    </row>
    <row r="28" spans="1:12" ht="15.75" customHeight="1" x14ac:dyDescent="0.3">
      <c r="A28" s="16" t="s">
        <v>43</v>
      </c>
      <c r="B28" s="17" t="s">
        <v>44</v>
      </c>
      <c r="C28" s="17" t="s">
        <v>45</v>
      </c>
      <c r="D28" s="25">
        <v>250</v>
      </c>
      <c r="E28" s="18">
        <v>45</v>
      </c>
      <c r="F28" s="17" t="s">
        <v>28</v>
      </c>
      <c r="G28" s="24">
        <v>45815</v>
      </c>
      <c r="H28" s="17" t="s">
        <v>127</v>
      </c>
      <c r="I28" s="17" t="str">
        <f t="shared" si="0"/>
        <v>Headphones,Sony</v>
      </c>
    </row>
    <row r="29" spans="1:12" ht="15.75" customHeight="1" x14ac:dyDescent="0.3">
      <c r="A29" s="16" t="s">
        <v>56</v>
      </c>
      <c r="B29" s="17" t="s">
        <v>57</v>
      </c>
      <c r="C29" s="17" t="s">
        <v>58</v>
      </c>
      <c r="D29" s="25">
        <v>130</v>
      </c>
      <c r="E29" s="18">
        <v>10</v>
      </c>
      <c r="F29" s="17" t="s">
        <v>59</v>
      </c>
      <c r="G29" s="24">
        <v>45944</v>
      </c>
      <c r="H29" s="17" t="s">
        <v>127</v>
      </c>
      <c r="I29" s="17" t="str">
        <f t="shared" si="0"/>
        <v>Hiking Boots,Timberland</v>
      </c>
    </row>
    <row r="30" spans="1:12" ht="15.75" customHeight="1" x14ac:dyDescent="0.3">
      <c r="A30" s="16" t="s">
        <v>100</v>
      </c>
      <c r="B30" s="17" t="s">
        <v>51</v>
      </c>
      <c r="C30" s="17" t="s">
        <v>101</v>
      </c>
      <c r="D30" s="25">
        <v>400</v>
      </c>
      <c r="E30" s="18">
        <v>40</v>
      </c>
      <c r="F30" s="17" t="s">
        <v>36</v>
      </c>
      <c r="G30" s="24">
        <v>45849</v>
      </c>
      <c r="H30" s="17" t="s">
        <v>133</v>
      </c>
      <c r="I30" s="17" t="str">
        <f t="shared" si="0"/>
        <v>Blender,Vitamix</v>
      </c>
    </row>
    <row r="31" spans="1:12" ht="15.75" customHeight="1" x14ac:dyDescent="0.3">
      <c r="A31" s="16" t="s">
        <v>92</v>
      </c>
      <c r="B31" s="17" t="s">
        <v>93</v>
      </c>
      <c r="C31" s="17" t="s">
        <v>94</v>
      </c>
      <c r="D31" s="25">
        <v>150</v>
      </c>
      <c r="E31" s="18">
        <v>30</v>
      </c>
      <c r="F31" s="17" t="s">
        <v>28</v>
      </c>
      <c r="G31" s="24">
        <v>45857</v>
      </c>
      <c r="H31" s="17" t="s">
        <v>138</v>
      </c>
      <c r="I31" s="17" t="str">
        <f t="shared" si="0"/>
        <v>Fitness Tracker,Xiaomi</v>
      </c>
    </row>
    <row r="32" spans="1:12" ht="15.75" customHeight="1" x14ac:dyDescent="0.3">
      <c r="A32" s="16" t="s">
        <v>102</v>
      </c>
      <c r="B32" s="17" t="s">
        <v>103</v>
      </c>
      <c r="C32" s="17" t="s">
        <v>104</v>
      </c>
      <c r="D32" s="25">
        <v>60</v>
      </c>
      <c r="E32" s="18">
        <v>30</v>
      </c>
      <c r="F32" s="17" t="s">
        <v>32</v>
      </c>
      <c r="G32" s="24">
        <v>45723</v>
      </c>
      <c r="H32" s="17" t="s">
        <v>133</v>
      </c>
      <c r="I32" s="17" t="str">
        <f t="shared" si="0"/>
        <v>Dress,Zara</v>
      </c>
    </row>
    <row r="33" spans="1:11" ht="15.75" customHeight="1" x14ac:dyDescent="0.3">
      <c r="A33"/>
      <c r="B33"/>
      <c r="C33"/>
      <c r="D33"/>
      <c r="E33"/>
      <c r="F33"/>
      <c r="G33"/>
      <c r="H33"/>
    </row>
    <row r="34" spans="1:11" ht="15.75" customHeight="1" x14ac:dyDescent="0.3">
      <c r="A34"/>
      <c r="B34"/>
      <c r="C34"/>
      <c r="D34"/>
      <c r="E34"/>
      <c r="F34"/>
      <c r="G34"/>
      <c r="H34"/>
    </row>
    <row r="35" spans="1:11" ht="15.75" customHeight="1" x14ac:dyDescent="0.3">
      <c r="A35"/>
      <c r="B35"/>
      <c r="C35"/>
      <c r="D35"/>
      <c r="E35"/>
      <c r="F35"/>
      <c r="G35"/>
      <c r="H35"/>
    </row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>
      <c r="K39" s="9">
        <v>130</v>
      </c>
    </row>
    <row r="40" spans="1:11" ht="15.75" customHeight="1" x14ac:dyDescent="0.3">
      <c r="K40" s="9" t="s">
        <v>118</v>
      </c>
    </row>
    <row r="41" spans="1:11" ht="15.75" customHeight="1" x14ac:dyDescent="0.3">
      <c r="K41" s="9">
        <v>130</v>
      </c>
    </row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honeticPr fontId="15" type="noConversion"/>
  <conditionalFormatting sqref="D2:D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{84874A00-2419-487B-B075-72ABBF8668F5}</x14:id>
        </ext>
      </extLst>
    </cfRule>
  </conditionalFormatting>
  <conditionalFormatting sqref="F1:F32">
    <cfRule type="expression" dxfId="14" priority="1">
      <formula>$F1="Electronics"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74A00-2419-487B-B075-72ABBF8668F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7493-4D13-4631-8307-7FCA219BC2FF}">
  <dimension ref="D8:F19"/>
  <sheetViews>
    <sheetView tabSelected="1" workbookViewId="0">
      <selection activeCell="F10" sqref="F10"/>
    </sheetView>
  </sheetViews>
  <sheetFormatPr defaultRowHeight="13.2" x14ac:dyDescent="0.25"/>
  <cols>
    <col min="4" max="4" width="10.5546875" bestFit="1" customWidth="1"/>
    <col min="5" max="6" width="10.33203125" bestFit="1" customWidth="1"/>
  </cols>
  <sheetData>
    <row r="8" spans="4:6" ht="14.4" x14ac:dyDescent="0.3">
      <c r="D8" s="26" t="s">
        <v>47</v>
      </c>
      <c r="E8" s="27">
        <v>45857</v>
      </c>
      <c r="F8" s="27">
        <f>DATE("2025",MONTH(E8),DAY(E8))</f>
        <v>45857</v>
      </c>
    </row>
    <row r="9" spans="4:6" ht="14.4" x14ac:dyDescent="0.3">
      <c r="D9" s="17" t="s">
        <v>63</v>
      </c>
      <c r="E9" s="27">
        <v>45986</v>
      </c>
      <c r="F9" s="27">
        <f t="shared" ref="F9:F19" si="0">DATE("2025",MONTH(E9),DAY(E9))</f>
        <v>45986</v>
      </c>
    </row>
    <row r="10" spans="4:6" ht="14.4" x14ac:dyDescent="0.3">
      <c r="D10" s="26" t="s">
        <v>53</v>
      </c>
      <c r="E10" s="27">
        <v>45905</v>
      </c>
      <c r="F10" s="27">
        <f t="shared" si="0"/>
        <v>45905</v>
      </c>
    </row>
    <row r="11" spans="4:6" ht="14.4" x14ac:dyDescent="0.3">
      <c r="D11" s="17" t="s">
        <v>78</v>
      </c>
      <c r="E11" s="27">
        <v>45684</v>
      </c>
      <c r="F11" s="27">
        <f t="shared" si="0"/>
        <v>45684</v>
      </c>
    </row>
    <row r="12" spans="4:6" ht="14.4" x14ac:dyDescent="0.3">
      <c r="D12" s="26" t="s">
        <v>69</v>
      </c>
      <c r="E12" s="27">
        <v>45763</v>
      </c>
      <c r="F12" s="27">
        <f>DATE("2025",MONTH(E12),DAY(E12))</f>
        <v>45763</v>
      </c>
    </row>
    <row r="13" spans="4:6" ht="14.4" x14ac:dyDescent="0.3">
      <c r="D13" s="17" t="s">
        <v>113</v>
      </c>
      <c r="E13" s="27">
        <v>45847</v>
      </c>
      <c r="F13" s="27">
        <f t="shared" si="0"/>
        <v>45847</v>
      </c>
    </row>
    <row r="14" spans="4:6" ht="14.4" x14ac:dyDescent="0.3">
      <c r="D14" s="26" t="s">
        <v>83</v>
      </c>
      <c r="E14" s="27">
        <v>45883</v>
      </c>
      <c r="F14" s="27">
        <f t="shared" si="0"/>
        <v>45883</v>
      </c>
    </row>
    <row r="15" spans="4:6" ht="14.4" x14ac:dyDescent="0.3">
      <c r="D15" s="17" t="s">
        <v>25</v>
      </c>
      <c r="E15" s="27">
        <v>45685</v>
      </c>
      <c r="F15" s="27">
        <f t="shared" si="0"/>
        <v>45685</v>
      </c>
    </row>
    <row r="16" spans="4:6" ht="14.4" x14ac:dyDescent="0.3">
      <c r="D16" s="26" t="s">
        <v>66</v>
      </c>
      <c r="E16" s="27">
        <v>45706</v>
      </c>
      <c r="F16" s="27">
        <f t="shared" si="0"/>
        <v>45706</v>
      </c>
    </row>
    <row r="17" spans="4:6" ht="14.4" x14ac:dyDescent="0.3">
      <c r="D17" s="17" t="s">
        <v>108</v>
      </c>
      <c r="E17" s="27">
        <v>45801</v>
      </c>
      <c r="F17" s="27">
        <f t="shared" si="0"/>
        <v>45801</v>
      </c>
    </row>
    <row r="18" spans="4:6" ht="14.4" x14ac:dyDescent="0.3">
      <c r="D18" s="26" t="s">
        <v>95</v>
      </c>
      <c r="E18" s="27">
        <v>45929</v>
      </c>
      <c r="F18" s="27">
        <f t="shared" si="0"/>
        <v>45929</v>
      </c>
    </row>
    <row r="19" spans="4:6" ht="14.4" x14ac:dyDescent="0.3">
      <c r="D19" s="17" t="s">
        <v>105</v>
      </c>
      <c r="E19" s="27">
        <v>45760</v>
      </c>
      <c r="F19" s="27">
        <f t="shared" si="0"/>
        <v>45760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Assignment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nithya dharun</cp:lastModifiedBy>
  <dcterms:modified xsi:type="dcterms:W3CDTF">2026-01-06T16:21:38Z</dcterms:modified>
</cp:coreProperties>
</file>