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Entri\Assignments\Excel\"/>
    </mc:Choice>
  </mc:AlternateContent>
  <xr:revisionPtr revIDLastSave="0" documentId="13_ncr:1_{BDC05A30-1D77-4A24-BDAA-A7E39AC19B3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Instructions" sheetId="1" r:id="rId1"/>
    <sheet name="Dataset" sheetId="2" r:id="rId2"/>
    <sheet name="Assignment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D37" i="4" l="1"/>
  <c r="J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I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H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D41" i="4"/>
  <c r="D40" i="4"/>
  <c r="G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D39" i="4"/>
  <c r="D38" i="4"/>
  <c r="A36" i="4"/>
  <c r="D36" i="4"/>
</calcChain>
</file>

<file path=xl/sharedStrings.xml><?xml version="1.0" encoding="utf-8"?>
<sst xmlns="http://schemas.openxmlformats.org/spreadsheetml/2006/main" count="328" uniqueCount="137">
  <si>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</si>
  <si>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</si>
  <si>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</si>
  <si>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</si>
  <si>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</si>
  <si>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</si>
  <si>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</si>
  <si>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</si>
  <si>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</si>
  <si>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</si>
  <si>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</si>
  <si>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</si>
  <si>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</si>
  <si>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</si>
  <si>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</si>
  <si>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</si>
  <si>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</si>
  <si>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</si>
  <si>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</si>
  <si>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</si>
  <si>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</si>
  <si>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</si>
  <si>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</si>
  <si>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</si>
  <si>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</si>
  <si>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</si>
  <si>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</si>
  <si>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</si>
  <si>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</si>
  <si>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</si>
  <si>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</si>
  <si>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</si>
  <si>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</si>
  <si>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</si>
  <si>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</si>
  <si>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</si>
  <si>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</si>
  <si>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</si>
  <si>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</si>
  <si>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</si>
  <si>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</si>
  <si>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</si>
  <si>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</si>
  <si>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</si>
  <si>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</si>
  <si>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</si>
  <si>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</si>
  <si>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</si>
  <si>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</si>
  <si>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</si>
  <si>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</si>
  <si>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</si>
  <si>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</si>
  <si>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</si>
  <si>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</si>
  <si>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</si>
  <si>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</si>
  <si>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</si>
  <si>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</si>
  <si>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</si>
  <si>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</si>
  <si>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</si>
  <si>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</si>
  <si>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</si>
  <si>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</si>
  <si>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</si>
  <si>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</si>
  <si>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</si>
  <si>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</si>
  <si>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</si>
  <si>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</si>
  <si>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</si>
  <si>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</si>
  <si>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</si>
  <si>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</si>
  <si>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</si>
  <si>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</si>
  <si>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</si>
  <si>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</si>
  <si>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</si>
  <si>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</si>
  <si>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</si>
  <si>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</si>
  <si>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</si>
  <si>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</si>
  <si>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</si>
  <si>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</si>
  <si>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</si>
  <si>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</si>
  <si>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</si>
  <si>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</si>
  <si>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</si>
  <si>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</si>
  <si>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</si>
  <si>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</si>
  <si>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</si>
  <si>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</si>
  <si>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</si>
  <si>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</si>
  <si>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</si>
  <si>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</si>
  <si>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</si>
  <si>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</si>
  <si>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</si>
  <si>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</si>
  <si>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</si>
  <si>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</si>
  <si>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</si>
  <si>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</si>
  <si>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</si>
  <si>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SUM</t>
  </si>
  <si>
    <t>COUNT</t>
  </si>
  <si>
    <t>AVERAGE</t>
  </si>
  <si>
    <t>MINIMUM</t>
  </si>
  <si>
    <t>MAXIMUM</t>
  </si>
  <si>
    <t>Price Range</t>
  </si>
  <si>
    <t>SUMIF</t>
  </si>
  <si>
    <t>COUNTIF</t>
  </si>
  <si>
    <t>Day</t>
  </si>
  <si>
    <t>Month</t>
  </si>
  <si>
    <t>Country Code</t>
  </si>
  <si>
    <t>1.SUM,COUNT,AVERAGE</t>
  </si>
  <si>
    <r>
      <t>Total Price of all Products =</t>
    </r>
    <r>
      <rPr>
        <b/>
        <sz val="11"/>
        <color rgb="FF00B050"/>
        <rFont val="Calibri"/>
        <family val="2"/>
      </rPr>
      <t>10100</t>
    </r>
  </si>
  <si>
    <r>
      <t>Count of the Products=</t>
    </r>
    <r>
      <rPr>
        <b/>
        <sz val="11"/>
        <color rgb="FF00B050"/>
        <rFont val="Calibri"/>
        <family val="2"/>
      </rPr>
      <t>34</t>
    </r>
    <r>
      <rPr>
        <sz val="11"/>
        <color rgb="FF000000"/>
        <rFont val="Calibri"/>
        <family val="2"/>
      </rPr>
      <t>. But there are 2 Duplicates in the Dataset.</t>
    </r>
  </si>
  <si>
    <r>
      <t>Average Price of the Products=</t>
    </r>
    <r>
      <rPr>
        <b/>
        <sz val="11"/>
        <color rgb="FF00B050"/>
        <rFont val="Calibri"/>
        <family val="2"/>
      </rPr>
      <t>297.058</t>
    </r>
  </si>
  <si>
    <t>2.MIN &amp; MAX</t>
  </si>
  <si>
    <r>
      <t xml:space="preserve">Minimum Price of the Product is </t>
    </r>
    <r>
      <rPr>
        <b/>
        <sz val="11"/>
        <color rgb="FF00B050"/>
        <rFont val="Calibri"/>
        <family val="2"/>
      </rPr>
      <t>30</t>
    </r>
  </si>
  <si>
    <r>
      <t xml:space="preserve">Maximum Price of the Product is </t>
    </r>
    <r>
      <rPr>
        <b/>
        <sz val="11"/>
        <color rgb="FF00B050"/>
        <rFont val="Calibri"/>
        <family val="2"/>
      </rPr>
      <t>1000</t>
    </r>
  </si>
  <si>
    <t>3.IF Function</t>
  </si>
  <si>
    <t>4.SUMIF &amp; COUNTIF</t>
  </si>
  <si>
    <r>
      <t>Total Price of Electronics product =</t>
    </r>
    <r>
      <rPr>
        <b/>
        <sz val="11"/>
        <color rgb="FF00B050"/>
        <rFont val="Calibri"/>
        <family val="2"/>
      </rPr>
      <t>8050</t>
    </r>
  </si>
  <si>
    <r>
      <t xml:space="preserve">IF Function done in Column G named as </t>
    </r>
    <r>
      <rPr>
        <b/>
        <sz val="11"/>
        <color rgb="FF00B050"/>
        <rFont val="Calibri"/>
        <family val="2"/>
      </rPr>
      <t>Price Range</t>
    </r>
  </si>
  <si>
    <r>
      <t xml:space="preserve">Count of the Products with Price less than $100 = </t>
    </r>
    <r>
      <rPr>
        <b/>
        <sz val="11"/>
        <color rgb="FF00B050"/>
        <rFont val="Calibri"/>
        <family val="2"/>
      </rPr>
      <t>11</t>
    </r>
  </si>
  <si>
    <t>5.LEFT, RIGHT, MID</t>
  </si>
  <si>
    <r>
      <t xml:space="preserve">LEFT Function done in Column H named as </t>
    </r>
    <r>
      <rPr>
        <b/>
        <sz val="11"/>
        <color rgb="FF00B050"/>
        <rFont val="Calibri"/>
        <family val="2"/>
      </rPr>
      <t>Day</t>
    </r>
  </si>
  <si>
    <r>
      <t xml:space="preserve">Right Function done in Column I named as </t>
    </r>
    <r>
      <rPr>
        <b/>
        <sz val="11"/>
        <color rgb="FF00B050"/>
        <rFont val="Calibri"/>
        <family val="2"/>
      </rPr>
      <t>Country Code</t>
    </r>
  </si>
  <si>
    <r>
      <t xml:space="preserve">MID Function done in Column J named as </t>
    </r>
    <r>
      <rPr>
        <b/>
        <sz val="11"/>
        <color rgb="FF00B050"/>
        <rFont val="Calibri"/>
        <family val="2"/>
      </rPr>
      <t>Month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</si>
</sst>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rgb="FF000000"/>
      <name val="Calibri"/>
      <family val="2"/>
    </font>
    <font>
      <sz val="12"/>
      <color theme="1"/>
      <name val="Calibri"/>
      <family val="2"/>
    </font>
    <font>
      <b/>
      <sz val="11"/>
      <color rgb="FF00B05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4DD0E1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3" borderId="0" xfId="0" applyFont="1" applyFill="1"/>
    <xf numFmtId="0" fontId="6" fillId="4" borderId="0" xfId="0" applyFont="1" applyFill="1"/>
    <xf numFmtId="0" fontId="7" fillId="0" borderId="0" xfId="0" applyFont="1"/>
    <xf numFmtId="0" fontId="9" fillId="2" borderId="2" xfId="0" applyFont="1" applyFill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/>
    </xf>
    <xf numFmtId="0" fontId="8" fillId="0" borderId="5" xfId="0" applyFont="1" applyBorder="1" applyAlignment="1">
      <alignment horizontal="left"/>
    </xf>
    <xf numFmtId="0" fontId="8" fillId="3" borderId="5" xfId="0" applyFont="1" applyFill="1" applyBorder="1" applyAlignment="1">
      <alignment horizontal="left"/>
    </xf>
    <xf numFmtId="0" fontId="8" fillId="3" borderId="7" xfId="0" applyFont="1" applyFill="1" applyBorder="1" applyAlignment="1">
      <alignment horizontal="left"/>
    </xf>
    <xf numFmtId="0" fontId="8" fillId="0" borderId="1" xfId="0" applyFont="1" applyBorder="1" applyAlignment="1">
      <alignment horizontal="left"/>
    </xf>
    <xf numFmtId="0" fontId="8" fillId="3" borderId="1" xfId="0" applyFont="1" applyFill="1" applyBorder="1" applyAlignment="1">
      <alignment horizontal="left"/>
    </xf>
    <xf numFmtId="0" fontId="8" fillId="3" borderId="8" xfId="0" applyFont="1" applyFill="1" applyBorder="1" applyAlignment="1">
      <alignment horizontal="left"/>
    </xf>
    <xf numFmtId="0" fontId="8" fillId="0" borderId="1" xfId="0" applyFont="1" applyBorder="1" applyAlignment="1">
      <alignment horizontal="right"/>
    </xf>
    <xf numFmtId="0" fontId="8" fillId="3" borderId="1" xfId="0" applyFont="1" applyFill="1" applyBorder="1" applyAlignment="1">
      <alignment horizontal="right"/>
    </xf>
    <xf numFmtId="0" fontId="8" fillId="3" borderId="8" xfId="0" applyFont="1" applyFill="1" applyBorder="1" applyAlignment="1">
      <alignment horizontal="right"/>
    </xf>
    <xf numFmtId="0" fontId="8" fillId="0" borderId="6" xfId="0" applyFont="1" applyBorder="1" applyAlignment="1">
      <alignment horizontal="left"/>
    </xf>
    <xf numFmtId="0" fontId="8" fillId="3" borderId="6" xfId="0" applyFont="1" applyFill="1" applyBorder="1" applyAlignment="1">
      <alignment horizontal="left"/>
    </xf>
    <xf numFmtId="0" fontId="8" fillId="3" borderId="9" xfId="0" applyFont="1" applyFill="1" applyBorder="1" applyAlignment="1">
      <alignment horizontal="left"/>
    </xf>
    <xf numFmtId="0" fontId="11" fillId="2" borderId="3" xfId="0" applyFont="1" applyFill="1" applyBorder="1" applyAlignment="1">
      <alignment horizontal="center"/>
    </xf>
    <xf numFmtId="0" fontId="9" fillId="6" borderId="3" xfId="0" applyFont="1" applyFill="1" applyBorder="1" applyAlignment="1">
      <alignment horizontal="center"/>
    </xf>
    <xf numFmtId="0" fontId="9" fillId="6" borderId="2" xfId="0" applyFont="1" applyFill="1" applyBorder="1" applyAlignment="1">
      <alignment horizontal="center"/>
    </xf>
    <xf numFmtId="0" fontId="11" fillId="6" borderId="3" xfId="0" applyFont="1" applyFill="1" applyBorder="1" applyAlignment="1">
      <alignment horizontal="center"/>
    </xf>
    <xf numFmtId="0" fontId="10" fillId="0" borderId="0" xfId="0" applyFont="1"/>
    <xf numFmtId="0" fontId="7" fillId="5" borderId="1" xfId="0" applyFont="1" applyFill="1" applyBorder="1" applyAlignment="1">
      <alignment horizontal="right"/>
    </xf>
    <xf numFmtId="0" fontId="10" fillId="5" borderId="1" xfId="0" applyFont="1" applyFill="1" applyBorder="1" applyAlignment="1">
      <alignment horizontal="left"/>
    </xf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E0F7FA"/>
          <bgColor rgb="FFE0F7FA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E0F7FA"/>
          <bgColor rgb="FFE0F7FA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E0F7FA"/>
          <bgColor rgb="FFE0F7FA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E0F7FA"/>
          <bgColor rgb="FFE0F7FA"/>
        </patternFill>
      </fill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E0F7FA"/>
          <bgColor rgb="FFE0F7FA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E0F7FA"/>
          <bgColor rgb="FFE0F7FA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E0F7FA"/>
          <bgColor rgb="FFE0F7FA"/>
        </patternFill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B25845-E696-4C9B-827B-91B44F3F54B6}" name="Table1" displayName="Table1" ref="A1:J35" totalsRowShown="0" headerRowDxfId="14" dataDxfId="12" headerRowBorderDxfId="13" tableBorderDxfId="11" totalsRowBorderDxfId="10">
  <autoFilter ref="A1:J35" xr:uid="{A2B25845-E696-4C9B-827B-91B44F3F54B6}"/>
  <tableColumns count="10">
    <tableColumn id="1" xr3:uid="{F8784584-0D83-48AF-B5D4-0FBEBD3D129E}" name="Product ID" dataDxfId="9"/>
    <tableColumn id="2" xr3:uid="{8E871C52-29DD-4B71-89FC-E3D2FBEBAD91}" name="Product Name" dataDxfId="8"/>
    <tableColumn id="3" xr3:uid="{35102A12-C273-4EDF-BA39-B9870E84FA11}" name="Brand Name" dataDxfId="7"/>
    <tableColumn id="4" xr3:uid="{9E11D90F-B89A-4246-B6D1-769E068CE9AD}" name="Price ($)" dataDxfId="6"/>
    <tableColumn id="5" xr3:uid="{841BEFC9-A9EA-4DA1-89AD-1F9B66AAA0FE}" name="Quantity" dataDxfId="5"/>
    <tableColumn id="6" xr3:uid="{FCD5CE5B-C910-44DC-9E21-1B1E2EF865D3}" name="Category" dataDxfId="4"/>
    <tableColumn id="7" xr3:uid="{AB32A7AF-43F7-40C6-938D-B1AECC4C01A0}" name="Price Range" dataDxfId="3">
      <calculatedColumnFormula>IF(D2&gt;=500,"High Price","Standard Price")</calculatedColumnFormula>
    </tableColumn>
    <tableColumn id="8" xr3:uid="{3D59611C-9F1A-4D1E-A368-6BBCC2B2917D}" name="Day" dataDxfId="2">
      <calculatedColumnFormula>LEFT(Table1[[#This Row],[Product ID]],2)</calculatedColumnFormula>
    </tableColumn>
    <tableColumn id="9" xr3:uid="{5DA31BEE-3233-47D4-89E4-CFADDF638459}" name="Country Code" dataDxfId="1">
      <calculatedColumnFormula>RIGHT(Table1[[#This Row],[Product ID]],2)</calculatedColumnFormula>
    </tableColumn>
    <tableColumn id="10" xr3:uid="{AA4AC36D-36A1-48DB-8FBB-146D30BE49E4}" name="Month" dataDxfId="0">
      <calculatedColumnFormula>MID(Table1[[#This Row],[Product ID]],4,3)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workbookViewId="0">
      <selection activeCell="H18" sqref="H18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3" ht="15.75" customHeight="1" x14ac:dyDescent="0.25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">
      <c r="B4" s="2"/>
      <c r="C4" s="3" t="s">
        <v>2</v>
      </c>
    </row>
    <row r="5" spans="1:3" ht="15.75" customHeight="1" x14ac:dyDescent="0.3">
      <c r="B5" s="2"/>
      <c r="C5" s="3" t="s">
        <v>3</v>
      </c>
    </row>
    <row r="6" spans="1:3" ht="15.75" customHeight="1" x14ac:dyDescent="0.3">
      <c r="B6" s="2"/>
      <c r="C6" s="3" t="s">
        <v>4</v>
      </c>
    </row>
    <row r="7" spans="1:3" ht="15.75" customHeight="1" x14ac:dyDescent="0.3">
      <c r="B7" s="4"/>
    </row>
    <row r="8" spans="1:3" ht="15.75" customHeight="1" x14ac:dyDescent="0.3">
      <c r="B8" s="2" t="s">
        <v>5</v>
      </c>
    </row>
    <row r="9" spans="1:3" ht="15.75" customHeight="1" x14ac:dyDescent="0.3">
      <c r="C9" s="3" t="s">
        <v>6</v>
      </c>
    </row>
    <row r="10" spans="1:3" ht="15.75" customHeight="1" x14ac:dyDescent="0.3">
      <c r="C10" s="3" t="s">
        <v>7</v>
      </c>
    </row>
    <row r="11" spans="1:3" ht="15.75" customHeight="1" x14ac:dyDescent="0.3">
      <c r="B11" s="4"/>
    </row>
    <row r="12" spans="1:3" ht="15.75" customHeight="1" x14ac:dyDescent="0.3">
      <c r="B12" s="2" t="s">
        <v>8</v>
      </c>
    </row>
    <row r="13" spans="1:3" ht="15.75" customHeight="1" x14ac:dyDescent="0.3">
      <c r="C13" s="3" t="s">
        <v>9</v>
      </c>
    </row>
    <row r="14" spans="1:3" ht="15.75" customHeight="1" x14ac:dyDescent="0.3">
      <c r="B14" s="4"/>
    </row>
    <row r="15" spans="1:3" ht="15.75" customHeight="1" x14ac:dyDescent="0.3">
      <c r="B15" s="2" t="s">
        <v>10</v>
      </c>
    </row>
    <row r="16" spans="1:3" ht="15.75" customHeight="1" x14ac:dyDescent="0.3">
      <c r="C16" s="3" t="s">
        <v>11</v>
      </c>
    </row>
    <row r="17" spans="2:3" ht="15.75" customHeight="1" x14ac:dyDescent="0.3">
      <c r="C17" s="3" t="s">
        <v>12</v>
      </c>
    </row>
    <row r="18" spans="2:3" ht="15.75" customHeight="1" x14ac:dyDescent="0.3">
      <c r="B18" s="4"/>
    </row>
    <row r="19" spans="2:3" ht="15.75" customHeight="1" x14ac:dyDescent="0.3">
      <c r="B19" s="2" t="s">
        <v>13</v>
      </c>
    </row>
    <row r="20" spans="2:3" ht="15.75" customHeight="1" x14ac:dyDescent="0.3">
      <c r="C20" s="3" t="s">
        <v>14</v>
      </c>
    </row>
    <row r="21" spans="2:3" ht="15.75" customHeight="1" x14ac:dyDescent="0.3">
      <c r="C21" s="3" t="s">
        <v>15</v>
      </c>
    </row>
    <row r="22" spans="2:3" ht="15.75" customHeight="1" x14ac:dyDescent="0.3">
      <c r="C22" s="3" t="s">
        <v>16</v>
      </c>
    </row>
    <row r="23" spans="2:3" ht="15.75" customHeight="1" x14ac:dyDescent="0.3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00"/>
  <sheetViews>
    <sheetView workbookViewId="0"/>
  </sheetViews>
  <sheetFormatPr defaultColWidth="12.6640625" defaultRowHeight="15" customHeight="1" x14ac:dyDescent="0.25"/>
  <cols>
    <col min="1" max="1" width="12.6640625" customWidth="1"/>
    <col min="2" max="2" width="14.109375" customWidth="1"/>
    <col min="3" max="6" width="12.6640625" customWidth="1"/>
  </cols>
  <sheetData>
    <row r="1" spans="1:7" ht="15.75" customHeight="1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6"/>
    </row>
    <row r="2" spans="1:7" ht="15.75" customHeight="1" x14ac:dyDescent="0.25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s="7"/>
    </row>
    <row r="3" spans="1:7" ht="15.75" customHeight="1" x14ac:dyDescent="0.25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s="7"/>
    </row>
    <row r="4" spans="1:7" ht="15.75" customHeight="1" x14ac:dyDescent="0.25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s="7"/>
    </row>
    <row r="5" spans="1:7" ht="15.75" customHeight="1" x14ac:dyDescent="0.25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s="7"/>
    </row>
    <row r="6" spans="1:7" ht="15.75" customHeight="1" x14ac:dyDescent="0.25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s="7"/>
    </row>
    <row r="7" spans="1:7" ht="15.75" customHeight="1" x14ac:dyDescent="0.25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s="7"/>
    </row>
    <row r="8" spans="1:7" ht="15.75" customHeight="1" x14ac:dyDescent="0.25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s="7"/>
    </row>
    <row r="9" spans="1:7" ht="15.75" customHeight="1" x14ac:dyDescent="0.25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s="7"/>
    </row>
    <row r="10" spans="1:7" ht="15.75" customHeight="1" x14ac:dyDescent="0.25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s="7"/>
    </row>
    <row r="11" spans="1:7" ht="15.75" customHeight="1" x14ac:dyDescent="0.25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s="7"/>
    </row>
    <row r="12" spans="1:7" ht="15.75" customHeight="1" x14ac:dyDescent="0.25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s="7"/>
    </row>
    <row r="13" spans="1:7" ht="15.75" customHeight="1" x14ac:dyDescent="0.25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s="7"/>
    </row>
    <row r="14" spans="1:7" ht="15.75" customHeight="1" x14ac:dyDescent="0.25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s="7"/>
    </row>
    <row r="15" spans="1:7" ht="15.75" customHeight="1" x14ac:dyDescent="0.25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s="7"/>
    </row>
    <row r="16" spans="1:7" ht="15.75" customHeight="1" x14ac:dyDescent="0.25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s="7"/>
    </row>
    <row r="17" spans="1:7" ht="15.75" customHeight="1" x14ac:dyDescent="0.25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s="7"/>
    </row>
    <row r="18" spans="1:7" ht="15.75" customHeight="1" x14ac:dyDescent="0.25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s="7"/>
    </row>
    <row r="19" spans="1:7" ht="15.75" customHeight="1" x14ac:dyDescent="0.25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s="7"/>
    </row>
    <row r="20" spans="1:7" ht="15.75" customHeight="1" x14ac:dyDescent="0.25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s="7"/>
    </row>
    <row r="21" spans="1:7" ht="15.75" customHeight="1" x14ac:dyDescent="0.25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s="7"/>
    </row>
    <row r="22" spans="1:7" ht="15.75" customHeight="1" x14ac:dyDescent="0.25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s="7"/>
    </row>
    <row r="23" spans="1:7" ht="15.75" customHeight="1" x14ac:dyDescent="0.25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s="7"/>
    </row>
    <row r="24" spans="1:7" ht="15.75" customHeight="1" x14ac:dyDescent="0.25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s="7"/>
    </row>
    <row r="25" spans="1:7" ht="15.75" customHeight="1" x14ac:dyDescent="0.25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s="9"/>
    </row>
    <row r="26" spans="1:7" ht="15.75" customHeight="1" x14ac:dyDescent="0.25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s="7"/>
    </row>
    <row r="27" spans="1:7" ht="15.75" customHeight="1" x14ac:dyDescent="0.25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s="7"/>
    </row>
    <row r="28" spans="1:7" ht="15.75" customHeight="1" x14ac:dyDescent="0.25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s="7"/>
    </row>
    <row r="29" spans="1:7" ht="15.75" customHeight="1" x14ac:dyDescent="0.25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s="9"/>
    </row>
    <row r="30" spans="1:7" ht="15.75" customHeight="1" x14ac:dyDescent="0.25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s="7"/>
    </row>
    <row r="31" spans="1:7" ht="15.75" customHeight="1" x14ac:dyDescent="0.25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s="7"/>
    </row>
    <row r="32" spans="1:7" ht="15.75" customHeight="1" x14ac:dyDescent="0.25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s="7"/>
    </row>
    <row r="33" spans="1:7" ht="15.75" customHeight="1" x14ac:dyDescent="0.25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s="7"/>
    </row>
    <row r="34" spans="1:7" ht="15.75" customHeight="1" x14ac:dyDescent="0.25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s="7"/>
    </row>
    <row r="35" spans="1:7" ht="15.75" customHeight="1" x14ac:dyDescent="0.25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G35" s="7"/>
    </row>
    <row r="36" spans="1:7" ht="15.75" customHeight="1" x14ac:dyDescent="0.25"/>
    <row r="37" spans="1:7" ht="15.75" customHeight="1" x14ac:dyDescent="0.25"/>
    <row r="38" spans="1:7" ht="15.75" customHeight="1" x14ac:dyDescent="0.25"/>
    <row r="39" spans="1:7" ht="15.75" customHeight="1" x14ac:dyDescent="0.25"/>
    <row r="40" spans="1:7" ht="15.75" customHeight="1" x14ac:dyDescent="0.25"/>
    <row r="41" spans="1:7" ht="15.75" customHeight="1" x14ac:dyDescent="0.25"/>
    <row r="42" spans="1:7" ht="15.75" customHeight="1" x14ac:dyDescent="0.25"/>
    <row r="43" spans="1:7" ht="15.75" customHeight="1" x14ac:dyDescent="0.25"/>
    <row r="44" spans="1:7" ht="15.75" customHeight="1" x14ac:dyDescent="0.25"/>
    <row r="45" spans="1:7" ht="15.75" customHeight="1" x14ac:dyDescent="0.25"/>
    <row r="46" spans="1:7" ht="15.75" customHeight="1" x14ac:dyDescent="0.25"/>
    <row r="47" spans="1:7" ht="15.75" customHeight="1" x14ac:dyDescent="0.25"/>
    <row r="48" spans="1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5440F-F290-41A4-8659-EBC2EC3C4CCB}">
  <sheetPr>
    <outlinePr summaryBelow="0" summaryRight="0"/>
  </sheetPr>
  <dimension ref="A1:K1000"/>
  <sheetViews>
    <sheetView tabSelected="1" topLeftCell="A13" workbookViewId="0">
      <selection activeCell="E37" sqref="E37"/>
    </sheetView>
  </sheetViews>
  <sheetFormatPr defaultColWidth="12.6640625" defaultRowHeight="15" customHeight="1" x14ac:dyDescent="0.3"/>
  <cols>
    <col min="1" max="1" width="15.33203125" style="10" bestFit="1" customWidth="1"/>
    <col min="2" max="2" width="18.88671875" style="10" bestFit="1" customWidth="1"/>
    <col min="3" max="3" width="17" style="10" bestFit="1" customWidth="1"/>
    <col min="4" max="4" width="13" style="10" bestFit="1" customWidth="1"/>
    <col min="5" max="6" width="13.6640625" style="10" bestFit="1" customWidth="1"/>
    <col min="7" max="7" width="16.21875" style="10" bestFit="1" customWidth="1"/>
    <col min="8" max="8" width="9" style="10" bestFit="1" customWidth="1"/>
    <col min="9" max="9" width="18.33203125" style="10" bestFit="1" customWidth="1"/>
    <col min="10" max="10" width="11.77734375" style="10" bestFit="1" customWidth="1"/>
    <col min="11" max="11" width="57.33203125" style="10" bestFit="1" customWidth="1"/>
    <col min="12" max="16384" width="12.6640625" style="10"/>
  </cols>
  <sheetData>
    <row r="1" spans="1:11" ht="15.75" customHeight="1" x14ac:dyDescent="0.3">
      <c r="A1" s="11" t="s">
        <v>17</v>
      </c>
      <c r="B1" s="26" t="s">
        <v>18</v>
      </c>
      <c r="C1" s="12" t="s">
        <v>19</v>
      </c>
      <c r="D1" s="12" t="s">
        <v>20</v>
      </c>
      <c r="E1" s="12" t="s">
        <v>21</v>
      </c>
      <c r="F1" s="13" t="s">
        <v>22</v>
      </c>
      <c r="G1" s="29" t="s">
        <v>115</v>
      </c>
      <c r="H1" s="27" t="s">
        <v>118</v>
      </c>
      <c r="I1" s="27" t="s">
        <v>120</v>
      </c>
      <c r="J1" s="28" t="s">
        <v>119</v>
      </c>
    </row>
    <row r="2" spans="1:11" ht="15.75" customHeight="1" x14ac:dyDescent="0.3">
      <c r="A2" s="14" t="s">
        <v>23</v>
      </c>
      <c r="B2" s="17" t="s">
        <v>24</v>
      </c>
      <c r="C2" s="17" t="s">
        <v>25</v>
      </c>
      <c r="D2" s="20">
        <v>1000</v>
      </c>
      <c r="E2" s="20">
        <v>30</v>
      </c>
      <c r="F2" s="23" t="s">
        <v>26</v>
      </c>
      <c r="G2" s="17" t="str">
        <f t="shared" ref="G2:G35" si="0">IF(D2&gt;=500,"High Price","Standard Price")</f>
        <v>High Price</v>
      </c>
      <c r="H2" s="20" t="str">
        <f>LEFT(Table1[[#This Row],[Product ID]],2)</f>
        <v>28</v>
      </c>
      <c r="I2" s="17" t="str">
        <f>RIGHT(Table1[[#This Row],[Product ID]],2)</f>
        <v>US</v>
      </c>
      <c r="J2" s="14" t="str">
        <f>MID(Table1[[#This Row],[Product ID]],4,3)</f>
        <v>JAN</v>
      </c>
      <c r="K2" s="30" t="s">
        <v>121</v>
      </c>
    </row>
    <row r="3" spans="1:11" ht="15.75" customHeight="1" x14ac:dyDescent="0.3">
      <c r="A3" s="15" t="s">
        <v>27</v>
      </c>
      <c r="B3" s="18" t="s">
        <v>28</v>
      </c>
      <c r="C3" s="18" t="s">
        <v>29</v>
      </c>
      <c r="D3" s="21">
        <v>80</v>
      </c>
      <c r="E3" s="21">
        <v>15</v>
      </c>
      <c r="F3" s="24" t="s">
        <v>30</v>
      </c>
      <c r="G3" s="18" t="str">
        <f t="shared" si="0"/>
        <v>Standard Price</v>
      </c>
      <c r="H3" s="21" t="str">
        <f>LEFT(Table1[[#This Row],[Product ID]],2)</f>
        <v>15</v>
      </c>
      <c r="I3" s="18" t="str">
        <f>RIGHT(Table1[[#This Row],[Product ID]],2)</f>
        <v>US</v>
      </c>
      <c r="J3" s="15" t="str">
        <f>MID(Table1[[#This Row],[Product ID]],4,3)</f>
        <v>FEB</v>
      </c>
      <c r="K3" s="10" t="s">
        <v>122</v>
      </c>
    </row>
    <row r="4" spans="1:11" ht="15.75" customHeight="1" x14ac:dyDescent="0.3">
      <c r="A4" s="14" t="s">
        <v>31</v>
      </c>
      <c r="B4" s="17" t="s">
        <v>32</v>
      </c>
      <c r="C4" s="17" t="s">
        <v>33</v>
      </c>
      <c r="D4" s="20">
        <v>130</v>
      </c>
      <c r="E4" s="20">
        <v>40</v>
      </c>
      <c r="F4" s="23" t="s">
        <v>34</v>
      </c>
      <c r="G4" s="17" t="str">
        <f t="shared" si="0"/>
        <v>Standard Price</v>
      </c>
      <c r="H4" s="20" t="str">
        <f>LEFT(Table1[[#This Row],[Product ID]],2)</f>
        <v>03</v>
      </c>
      <c r="I4" s="17" t="str">
        <f>RIGHT(Table1[[#This Row],[Product ID]],2)</f>
        <v>US</v>
      </c>
      <c r="J4" s="14" t="str">
        <f>MID(Table1[[#This Row],[Product ID]],4,3)</f>
        <v>MAR</v>
      </c>
      <c r="K4" s="10" t="s">
        <v>123</v>
      </c>
    </row>
    <row r="5" spans="1:11" ht="15.75" customHeight="1" x14ac:dyDescent="0.3">
      <c r="A5" s="15" t="s">
        <v>35</v>
      </c>
      <c r="B5" s="18" t="s">
        <v>36</v>
      </c>
      <c r="C5" s="18" t="s">
        <v>37</v>
      </c>
      <c r="D5" s="21">
        <v>900</v>
      </c>
      <c r="E5" s="21">
        <v>25</v>
      </c>
      <c r="F5" s="24" t="s">
        <v>26</v>
      </c>
      <c r="G5" s="18" t="str">
        <f t="shared" si="0"/>
        <v>High Price</v>
      </c>
      <c r="H5" s="21" t="str">
        <f>LEFT(Table1[[#This Row],[Product ID]],2)</f>
        <v>11</v>
      </c>
      <c r="I5" s="18" t="str">
        <f>RIGHT(Table1[[#This Row],[Product ID]],2)</f>
        <v>US</v>
      </c>
      <c r="J5" s="15" t="str">
        <f>MID(Table1[[#This Row],[Product ID]],4,3)</f>
        <v>APR</v>
      </c>
      <c r="K5" s="10" t="s">
        <v>124</v>
      </c>
    </row>
    <row r="6" spans="1:11" ht="15.75" customHeight="1" x14ac:dyDescent="0.3">
      <c r="A6" s="14" t="s">
        <v>38</v>
      </c>
      <c r="B6" s="17" t="s">
        <v>39</v>
      </c>
      <c r="C6" s="17" t="s">
        <v>40</v>
      </c>
      <c r="D6" s="20">
        <v>70</v>
      </c>
      <c r="E6" s="20">
        <v>20</v>
      </c>
      <c r="F6" s="23" t="s">
        <v>41</v>
      </c>
      <c r="G6" s="17" t="str">
        <f t="shared" si="0"/>
        <v>Standard Price</v>
      </c>
      <c r="H6" s="20" t="str">
        <f>LEFT(Table1[[#This Row],[Product ID]],2)</f>
        <v>22</v>
      </c>
      <c r="I6" s="17" t="str">
        <f>RIGHT(Table1[[#This Row],[Product ID]],2)</f>
        <v>US</v>
      </c>
      <c r="J6" s="14" t="str">
        <f>MID(Table1[[#This Row],[Product ID]],4,3)</f>
        <v>MAY</v>
      </c>
    </row>
    <row r="7" spans="1:11" ht="15.75" customHeight="1" x14ac:dyDescent="0.3">
      <c r="A7" s="15" t="s">
        <v>42</v>
      </c>
      <c r="B7" s="18" t="s">
        <v>43</v>
      </c>
      <c r="C7" s="18" t="s">
        <v>44</v>
      </c>
      <c r="D7" s="21">
        <v>200</v>
      </c>
      <c r="E7" s="21">
        <v>45</v>
      </c>
      <c r="F7" s="24" t="s">
        <v>26</v>
      </c>
      <c r="G7" s="18" t="str">
        <f t="shared" si="0"/>
        <v>Standard Price</v>
      </c>
      <c r="H7" s="21" t="str">
        <f>LEFT(Table1[[#This Row],[Product ID]],2)</f>
        <v>07</v>
      </c>
      <c r="I7" s="18" t="str">
        <f>RIGHT(Table1[[#This Row],[Product ID]],2)</f>
        <v>UK</v>
      </c>
      <c r="J7" s="15" t="str">
        <f>MID(Table1[[#This Row],[Product ID]],4,3)</f>
        <v>JUN</v>
      </c>
      <c r="K7" s="30" t="s">
        <v>125</v>
      </c>
    </row>
    <row r="8" spans="1:11" ht="15.75" customHeight="1" x14ac:dyDescent="0.3">
      <c r="A8" s="14" t="s">
        <v>45</v>
      </c>
      <c r="B8" s="17" t="s">
        <v>46</v>
      </c>
      <c r="C8" s="17" t="s">
        <v>47</v>
      </c>
      <c r="D8" s="20">
        <v>30</v>
      </c>
      <c r="E8" s="20">
        <v>5</v>
      </c>
      <c r="F8" s="23" t="s">
        <v>30</v>
      </c>
      <c r="G8" s="17" t="str">
        <f t="shared" si="0"/>
        <v>Standard Price</v>
      </c>
      <c r="H8" s="20" t="str">
        <f>LEFT(Table1[[#This Row],[Product ID]],2)</f>
        <v>19</v>
      </c>
      <c r="I8" s="17" t="str">
        <f>RIGHT(Table1[[#This Row],[Product ID]],2)</f>
        <v>UK</v>
      </c>
      <c r="J8" s="14" t="str">
        <f>MID(Table1[[#This Row],[Product ID]],4,3)</f>
        <v>JUL</v>
      </c>
      <c r="K8" s="10" t="s">
        <v>126</v>
      </c>
    </row>
    <row r="9" spans="1:11" ht="15.75" customHeight="1" x14ac:dyDescent="0.3">
      <c r="A9" s="15" t="s">
        <v>48</v>
      </c>
      <c r="B9" s="18" t="s">
        <v>49</v>
      </c>
      <c r="C9" s="18" t="s">
        <v>50</v>
      </c>
      <c r="D9" s="21">
        <v>90</v>
      </c>
      <c r="E9" s="21">
        <v>35</v>
      </c>
      <c r="F9" s="24" t="s">
        <v>34</v>
      </c>
      <c r="G9" s="18" t="str">
        <f t="shared" si="0"/>
        <v>Standard Price</v>
      </c>
      <c r="H9" s="21" t="str">
        <f>LEFT(Table1[[#This Row],[Product ID]],2)</f>
        <v>23</v>
      </c>
      <c r="I9" s="18" t="str">
        <f>RIGHT(Table1[[#This Row],[Product ID]],2)</f>
        <v>UK</v>
      </c>
      <c r="J9" s="15" t="str">
        <f>MID(Table1[[#This Row],[Product ID]],4,3)</f>
        <v>AUG</v>
      </c>
      <c r="K9" s="10" t="s">
        <v>127</v>
      </c>
    </row>
    <row r="10" spans="1:11" ht="15.75" customHeight="1" x14ac:dyDescent="0.3">
      <c r="A10" s="14" t="s">
        <v>51</v>
      </c>
      <c r="B10" s="17" t="s">
        <v>52</v>
      </c>
      <c r="C10" s="17" t="s">
        <v>53</v>
      </c>
      <c r="D10" s="20">
        <v>500</v>
      </c>
      <c r="E10" s="20">
        <v>50</v>
      </c>
      <c r="F10" s="23" t="s">
        <v>26</v>
      </c>
      <c r="G10" s="17" t="str">
        <f t="shared" si="0"/>
        <v>High Price</v>
      </c>
      <c r="H10" s="20" t="str">
        <f>LEFT(Table1[[#This Row],[Product ID]],2)</f>
        <v>05</v>
      </c>
      <c r="I10" s="17" t="str">
        <f>RIGHT(Table1[[#This Row],[Product ID]],2)</f>
        <v>UK</v>
      </c>
      <c r="J10" s="14" t="str">
        <f>MID(Table1[[#This Row],[Product ID]],4,3)</f>
        <v>SEP</v>
      </c>
    </row>
    <row r="11" spans="1:11" ht="15.75" customHeight="1" x14ac:dyDescent="0.3">
      <c r="A11" s="15" t="s">
        <v>54</v>
      </c>
      <c r="B11" s="18" t="s">
        <v>55</v>
      </c>
      <c r="C11" s="18" t="s">
        <v>56</v>
      </c>
      <c r="D11" s="21">
        <v>130</v>
      </c>
      <c r="E11" s="21">
        <v>10</v>
      </c>
      <c r="F11" s="24" t="s">
        <v>41</v>
      </c>
      <c r="G11" s="18" t="str">
        <f t="shared" si="0"/>
        <v>Standard Price</v>
      </c>
      <c r="H11" s="21" t="str">
        <f>LEFT(Table1[[#This Row],[Product ID]],2)</f>
        <v>14</v>
      </c>
      <c r="I11" s="18" t="str">
        <f>RIGHT(Table1[[#This Row],[Product ID]],2)</f>
        <v>UK</v>
      </c>
      <c r="J11" s="15" t="str">
        <f>MID(Table1[[#This Row],[Product ID]],4,3)</f>
        <v>OCT</v>
      </c>
      <c r="K11" s="30" t="s">
        <v>128</v>
      </c>
    </row>
    <row r="12" spans="1:11" ht="15.75" customHeight="1" x14ac:dyDescent="0.3">
      <c r="A12" s="14" t="s">
        <v>57</v>
      </c>
      <c r="B12" s="17" t="s">
        <v>24</v>
      </c>
      <c r="C12" s="17" t="s">
        <v>58</v>
      </c>
      <c r="D12" s="20">
        <v>950</v>
      </c>
      <c r="E12" s="20">
        <v>25</v>
      </c>
      <c r="F12" s="23" t="s">
        <v>26</v>
      </c>
      <c r="G12" s="17" t="str">
        <f t="shared" si="0"/>
        <v>High Price</v>
      </c>
      <c r="H12" s="20" t="str">
        <f>LEFT(Table1[[#This Row],[Product ID]],2)</f>
        <v>17</v>
      </c>
      <c r="I12" s="17" t="str">
        <f>RIGHT(Table1[[#This Row],[Product ID]],2)</f>
        <v>IN</v>
      </c>
      <c r="J12" s="14" t="str">
        <f>MID(Table1[[#This Row],[Product ID]],4,3)</f>
        <v>JUN</v>
      </c>
      <c r="K12" s="10" t="s">
        <v>131</v>
      </c>
    </row>
    <row r="13" spans="1:11" ht="15.75" customHeight="1" x14ac:dyDescent="0.3">
      <c r="A13" s="15" t="s">
        <v>59</v>
      </c>
      <c r="B13" s="18" t="s">
        <v>28</v>
      </c>
      <c r="C13" s="18" t="s">
        <v>47</v>
      </c>
      <c r="D13" s="21">
        <v>90</v>
      </c>
      <c r="E13" s="21">
        <v>40</v>
      </c>
      <c r="F13" s="24" t="s">
        <v>30</v>
      </c>
      <c r="G13" s="18" t="str">
        <f t="shared" si="0"/>
        <v>Standard Price</v>
      </c>
      <c r="H13" s="21" t="str">
        <f>LEFT(Table1[[#This Row],[Product ID]],2)</f>
        <v>25</v>
      </c>
      <c r="I13" s="18" t="str">
        <f>RIGHT(Table1[[#This Row],[Product ID]],2)</f>
        <v>AU</v>
      </c>
      <c r="J13" s="15" t="str">
        <f>MID(Table1[[#This Row],[Product ID]],4,3)</f>
        <v>NOV</v>
      </c>
    </row>
    <row r="14" spans="1:11" ht="15.75" customHeight="1" x14ac:dyDescent="0.3">
      <c r="A14" s="14" t="s">
        <v>60</v>
      </c>
      <c r="B14" s="17" t="s">
        <v>32</v>
      </c>
      <c r="C14" s="17" t="s">
        <v>61</v>
      </c>
      <c r="D14" s="20">
        <v>120</v>
      </c>
      <c r="E14" s="20">
        <v>35</v>
      </c>
      <c r="F14" s="23" t="s">
        <v>34</v>
      </c>
      <c r="G14" s="17" t="str">
        <f t="shared" si="0"/>
        <v>Standard Price</v>
      </c>
      <c r="H14" s="20" t="str">
        <f>LEFT(Table1[[#This Row],[Product ID]],2)</f>
        <v>08</v>
      </c>
      <c r="I14" s="17" t="str">
        <f>RIGHT(Table1[[#This Row],[Product ID]],2)</f>
        <v>DE</v>
      </c>
      <c r="J14" s="14" t="str">
        <f>MID(Table1[[#This Row],[Product ID]],4,3)</f>
        <v>DEC</v>
      </c>
      <c r="K14" s="30" t="s">
        <v>129</v>
      </c>
    </row>
    <row r="15" spans="1:11" ht="15.75" customHeight="1" x14ac:dyDescent="0.3">
      <c r="A15" s="15" t="s">
        <v>62</v>
      </c>
      <c r="B15" s="18" t="s">
        <v>63</v>
      </c>
      <c r="C15" s="18" t="s">
        <v>64</v>
      </c>
      <c r="D15" s="21">
        <v>150</v>
      </c>
      <c r="E15" s="21">
        <v>15</v>
      </c>
      <c r="F15" s="24" t="s">
        <v>26</v>
      </c>
      <c r="G15" s="18" t="str">
        <f t="shared" si="0"/>
        <v>Standard Price</v>
      </c>
      <c r="H15" s="21" t="str">
        <f>LEFT(Table1[[#This Row],[Product ID]],2)</f>
        <v>18</v>
      </c>
      <c r="I15" s="18" t="str">
        <f>RIGHT(Table1[[#This Row],[Product ID]],2)</f>
        <v>CA</v>
      </c>
      <c r="J15" s="15" t="str">
        <f>MID(Table1[[#This Row],[Product ID]],4,3)</f>
        <v>FEB</v>
      </c>
      <c r="K15" s="10" t="s">
        <v>130</v>
      </c>
    </row>
    <row r="16" spans="1:11" ht="15.75" customHeight="1" x14ac:dyDescent="0.3">
      <c r="A16" s="14" t="s">
        <v>65</v>
      </c>
      <c r="B16" s="17" t="s">
        <v>43</v>
      </c>
      <c r="C16" s="17" t="s">
        <v>66</v>
      </c>
      <c r="D16" s="20">
        <v>250</v>
      </c>
      <c r="E16" s="20">
        <v>20</v>
      </c>
      <c r="F16" s="23" t="s">
        <v>26</v>
      </c>
      <c r="G16" s="17" t="str">
        <f t="shared" si="0"/>
        <v>Standard Price</v>
      </c>
      <c r="H16" s="20" t="str">
        <f>LEFT(Table1[[#This Row],[Product ID]],2)</f>
        <v>16</v>
      </c>
      <c r="I16" s="17" t="str">
        <f>RIGHT(Table1[[#This Row],[Product ID]],2)</f>
        <v>ES</v>
      </c>
      <c r="J16" s="14" t="str">
        <f>MID(Table1[[#This Row],[Product ID]],4,3)</f>
        <v>APR</v>
      </c>
      <c r="K16" s="10" t="s">
        <v>132</v>
      </c>
    </row>
    <row r="17" spans="1:11" ht="15.75" customHeight="1" x14ac:dyDescent="0.3">
      <c r="A17" s="15" t="s">
        <v>67</v>
      </c>
      <c r="B17" s="18" t="s">
        <v>68</v>
      </c>
      <c r="C17" s="18" t="s">
        <v>69</v>
      </c>
      <c r="D17" s="21">
        <v>50</v>
      </c>
      <c r="E17" s="21">
        <v>35</v>
      </c>
      <c r="F17" s="24" t="s">
        <v>70</v>
      </c>
      <c r="G17" s="18" t="str">
        <f t="shared" si="0"/>
        <v>Standard Price</v>
      </c>
      <c r="H17" s="21" t="str">
        <f>LEFT(Table1[[#This Row],[Product ID]],2)</f>
        <v>21</v>
      </c>
      <c r="I17" s="18" t="str">
        <f>RIGHT(Table1[[#This Row],[Product ID]],2)</f>
        <v>CA</v>
      </c>
      <c r="J17" s="15" t="str">
        <f>MID(Table1[[#This Row],[Product ID]],4,3)</f>
        <v>AUG</v>
      </c>
    </row>
    <row r="18" spans="1:11" ht="15.75" customHeight="1" x14ac:dyDescent="0.3">
      <c r="A18" s="14" t="s">
        <v>71</v>
      </c>
      <c r="B18" s="17" t="s">
        <v>63</v>
      </c>
      <c r="C18" s="17" t="s">
        <v>72</v>
      </c>
      <c r="D18" s="20">
        <v>160</v>
      </c>
      <c r="E18" s="20">
        <v>15</v>
      </c>
      <c r="F18" s="23" t="s">
        <v>26</v>
      </c>
      <c r="G18" s="17" t="str">
        <f t="shared" si="0"/>
        <v>Standard Price</v>
      </c>
      <c r="H18" s="20" t="str">
        <f>LEFT(Table1[[#This Row],[Product ID]],2)</f>
        <v>20</v>
      </c>
      <c r="I18" s="17" t="str">
        <f>RIGHT(Table1[[#This Row],[Product ID]],2)</f>
        <v>CN</v>
      </c>
      <c r="J18" s="14" t="str">
        <f>MID(Table1[[#This Row],[Product ID]],4,3)</f>
        <v>AUG</v>
      </c>
      <c r="K18" s="30" t="s">
        <v>133</v>
      </c>
    </row>
    <row r="19" spans="1:11" ht="15.75" customHeight="1" x14ac:dyDescent="0.3">
      <c r="A19" s="15" t="s">
        <v>73</v>
      </c>
      <c r="B19" s="18" t="s">
        <v>24</v>
      </c>
      <c r="C19" s="18" t="s">
        <v>74</v>
      </c>
      <c r="D19" s="21">
        <v>980</v>
      </c>
      <c r="E19" s="21">
        <v>10</v>
      </c>
      <c r="F19" s="24" t="s">
        <v>26</v>
      </c>
      <c r="G19" s="18" t="str">
        <f t="shared" si="0"/>
        <v>High Price</v>
      </c>
      <c r="H19" s="21" t="str">
        <f>LEFT(Table1[[#This Row],[Product ID]],2)</f>
        <v>27</v>
      </c>
      <c r="I19" s="18" t="str">
        <f>RIGHT(Table1[[#This Row],[Product ID]],2)</f>
        <v>IT</v>
      </c>
      <c r="J19" s="15" t="str">
        <f>MID(Table1[[#This Row],[Product ID]],4,3)</f>
        <v>JAN</v>
      </c>
      <c r="K19" s="10" t="s">
        <v>134</v>
      </c>
    </row>
    <row r="20" spans="1:11" ht="15.75" customHeight="1" x14ac:dyDescent="0.3">
      <c r="A20" s="14" t="s">
        <v>75</v>
      </c>
      <c r="B20" s="17" t="s">
        <v>76</v>
      </c>
      <c r="C20" s="17" t="s">
        <v>77</v>
      </c>
      <c r="D20" s="20">
        <v>150</v>
      </c>
      <c r="E20" s="20">
        <v>15</v>
      </c>
      <c r="F20" s="23" t="s">
        <v>30</v>
      </c>
      <c r="G20" s="17" t="str">
        <f t="shared" si="0"/>
        <v>Standard Price</v>
      </c>
      <c r="H20" s="20" t="str">
        <f>LEFT(Table1[[#This Row],[Product ID]],2)</f>
        <v>01</v>
      </c>
      <c r="I20" s="17" t="str">
        <f>RIGHT(Table1[[#This Row],[Product ID]],2)</f>
        <v>UK</v>
      </c>
      <c r="J20" s="14" t="str">
        <f>MID(Table1[[#This Row],[Product ID]],4,3)</f>
        <v>MAR</v>
      </c>
      <c r="K20" s="10" t="s">
        <v>135</v>
      </c>
    </row>
    <row r="21" spans="1:11" ht="15.75" customHeight="1" x14ac:dyDescent="0.3">
      <c r="A21" s="15" t="s">
        <v>78</v>
      </c>
      <c r="B21" s="18" t="s">
        <v>79</v>
      </c>
      <c r="C21" s="18" t="s">
        <v>80</v>
      </c>
      <c r="D21" s="21">
        <v>200</v>
      </c>
      <c r="E21" s="21">
        <v>10</v>
      </c>
      <c r="F21" s="24" t="s">
        <v>41</v>
      </c>
      <c r="G21" s="18" t="str">
        <f t="shared" si="0"/>
        <v>Standard Price</v>
      </c>
      <c r="H21" s="21" t="str">
        <f>LEFT(Table1[[#This Row],[Product ID]],2)</f>
        <v>14</v>
      </c>
      <c r="I21" s="18" t="str">
        <f>RIGHT(Table1[[#This Row],[Product ID]],2)</f>
        <v>US</v>
      </c>
      <c r="J21" s="15" t="str">
        <f>MID(Table1[[#This Row],[Product ID]],4,3)</f>
        <v>AUG</v>
      </c>
      <c r="K21" s="10" t="s">
        <v>136</v>
      </c>
    </row>
    <row r="22" spans="1:11" ht="15.75" customHeight="1" x14ac:dyDescent="0.3">
      <c r="A22" s="14" t="s">
        <v>81</v>
      </c>
      <c r="B22" s="17" t="s">
        <v>82</v>
      </c>
      <c r="C22" s="17" t="s">
        <v>83</v>
      </c>
      <c r="D22" s="20">
        <v>700</v>
      </c>
      <c r="E22" s="20">
        <v>50</v>
      </c>
      <c r="F22" s="23" t="s">
        <v>26</v>
      </c>
      <c r="G22" s="17" t="str">
        <f t="shared" si="0"/>
        <v>High Price</v>
      </c>
      <c r="H22" s="20" t="str">
        <f>LEFT(Table1[[#This Row],[Product ID]],2)</f>
        <v>14</v>
      </c>
      <c r="I22" s="17" t="str">
        <f>RIGHT(Table1[[#This Row],[Product ID]],2)</f>
        <v>RU</v>
      </c>
      <c r="J22" s="14" t="str">
        <f>MID(Table1[[#This Row],[Product ID]],4,3)</f>
        <v>MAY</v>
      </c>
    </row>
    <row r="23" spans="1:11" ht="15.75" customHeight="1" x14ac:dyDescent="0.3">
      <c r="A23" s="15" t="s">
        <v>84</v>
      </c>
      <c r="B23" s="18" t="s">
        <v>85</v>
      </c>
      <c r="C23" s="18" t="s">
        <v>86</v>
      </c>
      <c r="D23" s="21">
        <v>80</v>
      </c>
      <c r="E23" s="21">
        <v>20</v>
      </c>
      <c r="F23" s="24" t="s">
        <v>34</v>
      </c>
      <c r="G23" s="18" t="str">
        <f t="shared" si="0"/>
        <v>Standard Price</v>
      </c>
      <c r="H23" s="21" t="str">
        <f>LEFT(Table1[[#This Row],[Product ID]],2)</f>
        <v>09</v>
      </c>
      <c r="I23" s="18" t="str">
        <f>RIGHT(Table1[[#This Row],[Product ID]],2)</f>
        <v>CA</v>
      </c>
      <c r="J23" s="15" t="str">
        <f>MID(Table1[[#This Row],[Product ID]],4,3)</f>
        <v>JAN</v>
      </c>
    </row>
    <row r="24" spans="1:11" ht="15.75" customHeight="1" x14ac:dyDescent="0.3">
      <c r="A24" s="14" t="s">
        <v>87</v>
      </c>
      <c r="B24" s="17" t="s">
        <v>88</v>
      </c>
      <c r="C24" s="17" t="s">
        <v>89</v>
      </c>
      <c r="D24" s="20">
        <v>150</v>
      </c>
      <c r="E24" s="20">
        <v>30</v>
      </c>
      <c r="F24" s="23" t="s">
        <v>26</v>
      </c>
      <c r="G24" s="17" t="str">
        <f t="shared" si="0"/>
        <v>Standard Price</v>
      </c>
      <c r="H24" s="20" t="str">
        <f>LEFT(Table1[[#This Row],[Product ID]],2)</f>
        <v>19</v>
      </c>
      <c r="I24" s="17" t="str">
        <f>RIGHT(Table1[[#This Row],[Product ID]],2)</f>
        <v>BR</v>
      </c>
      <c r="J24" s="14" t="str">
        <f>MID(Table1[[#This Row],[Product ID]],4,3)</f>
        <v>JUL</v>
      </c>
    </row>
    <row r="25" spans="1:11" ht="15.75" customHeight="1" x14ac:dyDescent="0.3">
      <c r="A25" s="15" t="s">
        <v>67</v>
      </c>
      <c r="B25" s="18" t="s">
        <v>68</v>
      </c>
      <c r="C25" s="18" t="s">
        <v>69</v>
      </c>
      <c r="D25" s="21">
        <v>50</v>
      </c>
      <c r="E25" s="21">
        <v>35</v>
      </c>
      <c r="F25" s="24" t="s">
        <v>70</v>
      </c>
      <c r="G25" s="18" t="str">
        <f t="shared" si="0"/>
        <v>Standard Price</v>
      </c>
      <c r="H25" s="21" t="str">
        <f>LEFT(Table1[[#This Row],[Product ID]],2)</f>
        <v>21</v>
      </c>
      <c r="I25" s="18" t="str">
        <f>RIGHT(Table1[[#This Row],[Product ID]],2)</f>
        <v>CA</v>
      </c>
      <c r="J25" s="15" t="str">
        <f>MID(Table1[[#This Row],[Product ID]],4,3)</f>
        <v>AUG</v>
      </c>
    </row>
    <row r="26" spans="1:11" ht="15.75" customHeight="1" x14ac:dyDescent="0.3">
      <c r="A26" s="14" t="s">
        <v>90</v>
      </c>
      <c r="B26" s="17" t="s">
        <v>36</v>
      </c>
      <c r="C26" s="17" t="s">
        <v>91</v>
      </c>
      <c r="D26" s="20">
        <v>800</v>
      </c>
      <c r="E26" s="20">
        <v>45</v>
      </c>
      <c r="F26" s="23" t="s">
        <v>26</v>
      </c>
      <c r="G26" s="17" t="str">
        <f t="shared" si="0"/>
        <v>High Price</v>
      </c>
      <c r="H26" s="20" t="str">
        <f>LEFT(Table1[[#This Row],[Product ID]],2)</f>
        <v>29</v>
      </c>
      <c r="I26" s="17" t="str">
        <f>RIGHT(Table1[[#This Row],[Product ID]],2)</f>
        <v>CA</v>
      </c>
      <c r="J26" s="14" t="str">
        <f>MID(Table1[[#This Row],[Product ID]],4,3)</f>
        <v>SEP</v>
      </c>
    </row>
    <row r="27" spans="1:11" ht="15.75" customHeight="1" x14ac:dyDescent="0.3">
      <c r="A27" s="15" t="s">
        <v>92</v>
      </c>
      <c r="B27" s="18" t="s">
        <v>76</v>
      </c>
      <c r="C27" s="18" t="s">
        <v>93</v>
      </c>
      <c r="D27" s="21">
        <v>130</v>
      </c>
      <c r="E27" s="21">
        <v>25</v>
      </c>
      <c r="F27" s="24" t="s">
        <v>30</v>
      </c>
      <c r="G27" s="18" t="str">
        <f t="shared" si="0"/>
        <v>Standard Price</v>
      </c>
      <c r="H27" s="21" t="str">
        <f>LEFT(Table1[[#This Row],[Product ID]],2)</f>
        <v>03</v>
      </c>
      <c r="I27" s="18" t="str">
        <f>RIGHT(Table1[[#This Row],[Product ID]],2)</f>
        <v>CA</v>
      </c>
      <c r="J27" s="15" t="str">
        <f>MID(Table1[[#This Row],[Product ID]],4,3)</f>
        <v>JUN</v>
      </c>
    </row>
    <row r="28" spans="1:11" ht="15.75" customHeight="1" x14ac:dyDescent="0.3">
      <c r="A28" s="14" t="s">
        <v>94</v>
      </c>
      <c r="B28" s="17" t="s">
        <v>49</v>
      </c>
      <c r="C28" s="17" t="s">
        <v>95</v>
      </c>
      <c r="D28" s="20">
        <v>400</v>
      </c>
      <c r="E28" s="20">
        <v>40</v>
      </c>
      <c r="F28" s="23" t="s">
        <v>34</v>
      </c>
      <c r="G28" s="17" t="str">
        <f t="shared" si="0"/>
        <v>Standard Price</v>
      </c>
      <c r="H28" s="20" t="str">
        <f>LEFT(Table1[[#This Row],[Product ID]],2)</f>
        <v>11</v>
      </c>
      <c r="I28" s="17" t="str">
        <f>RIGHT(Table1[[#This Row],[Product ID]],2)</f>
        <v>CA</v>
      </c>
      <c r="J28" s="14" t="str">
        <f>MID(Table1[[#This Row],[Product ID]],4,3)</f>
        <v>JUL</v>
      </c>
    </row>
    <row r="29" spans="1:11" ht="15.75" customHeight="1" x14ac:dyDescent="0.3">
      <c r="A29" s="15" t="s">
        <v>65</v>
      </c>
      <c r="B29" s="18" t="s">
        <v>43</v>
      </c>
      <c r="C29" s="18" t="s">
        <v>66</v>
      </c>
      <c r="D29" s="21">
        <v>230</v>
      </c>
      <c r="E29" s="21">
        <v>20</v>
      </c>
      <c r="F29" s="24" t="s">
        <v>26</v>
      </c>
      <c r="G29" s="18" t="str">
        <f t="shared" si="0"/>
        <v>Standard Price</v>
      </c>
      <c r="H29" s="21" t="str">
        <f>LEFT(Table1[[#This Row],[Product ID]],2)</f>
        <v>16</v>
      </c>
      <c r="I29" s="18" t="str">
        <f>RIGHT(Table1[[#This Row],[Product ID]],2)</f>
        <v>ES</v>
      </c>
      <c r="J29" s="15" t="str">
        <f>MID(Table1[[#This Row],[Product ID]],4,3)</f>
        <v>APR</v>
      </c>
    </row>
    <row r="30" spans="1:11" ht="15.75" customHeight="1" x14ac:dyDescent="0.3">
      <c r="A30" s="14" t="s">
        <v>96</v>
      </c>
      <c r="B30" s="17" t="s">
        <v>97</v>
      </c>
      <c r="C30" s="17" t="s">
        <v>98</v>
      </c>
      <c r="D30" s="20">
        <v>60</v>
      </c>
      <c r="E30" s="20">
        <v>30</v>
      </c>
      <c r="F30" s="23" t="s">
        <v>30</v>
      </c>
      <c r="G30" s="17" t="str">
        <f t="shared" si="0"/>
        <v>Standard Price</v>
      </c>
      <c r="H30" s="20" t="str">
        <f>LEFT(Table1[[#This Row],[Product ID]],2)</f>
        <v>07</v>
      </c>
      <c r="I30" s="17" t="str">
        <f>RIGHT(Table1[[#This Row],[Product ID]],2)</f>
        <v>CA</v>
      </c>
      <c r="J30" s="14" t="str">
        <f>MID(Table1[[#This Row],[Product ID]],4,3)</f>
        <v>MAR</v>
      </c>
    </row>
    <row r="31" spans="1:11" ht="15.75" customHeight="1" x14ac:dyDescent="0.3">
      <c r="A31" s="15" t="s">
        <v>99</v>
      </c>
      <c r="B31" s="18" t="s">
        <v>100</v>
      </c>
      <c r="C31" s="18" t="s">
        <v>101</v>
      </c>
      <c r="D31" s="21">
        <v>40</v>
      </c>
      <c r="E31" s="21">
        <v>10</v>
      </c>
      <c r="F31" s="24" t="s">
        <v>34</v>
      </c>
      <c r="G31" s="18" t="str">
        <f t="shared" si="0"/>
        <v>Standard Price</v>
      </c>
      <c r="H31" s="21" t="str">
        <f>LEFT(Table1[[#This Row],[Product ID]],2)</f>
        <v>13</v>
      </c>
      <c r="I31" s="18" t="str">
        <f>RIGHT(Table1[[#This Row],[Product ID]],2)</f>
        <v>CA</v>
      </c>
      <c r="J31" s="15" t="str">
        <f>MID(Table1[[#This Row],[Product ID]],4,3)</f>
        <v>APR</v>
      </c>
    </row>
    <row r="32" spans="1:11" ht="15.75" customHeight="1" x14ac:dyDescent="0.3">
      <c r="A32" s="14" t="s">
        <v>102</v>
      </c>
      <c r="B32" s="17" t="s">
        <v>88</v>
      </c>
      <c r="C32" s="17" t="s">
        <v>103</v>
      </c>
      <c r="D32" s="20">
        <v>130</v>
      </c>
      <c r="E32" s="20">
        <v>5</v>
      </c>
      <c r="F32" s="23" t="s">
        <v>26</v>
      </c>
      <c r="G32" s="17" t="str">
        <f t="shared" si="0"/>
        <v>Standard Price</v>
      </c>
      <c r="H32" s="20" t="str">
        <f>LEFT(Table1[[#This Row],[Product ID]],2)</f>
        <v>24</v>
      </c>
      <c r="I32" s="17" t="str">
        <f>RIGHT(Table1[[#This Row],[Product ID]],2)</f>
        <v>CA</v>
      </c>
      <c r="J32" s="14" t="str">
        <f>MID(Table1[[#This Row],[Product ID]],4,3)</f>
        <v>MAY</v>
      </c>
    </row>
    <row r="33" spans="1:10" ht="15.75" customHeight="1" x14ac:dyDescent="0.3">
      <c r="A33" s="15" t="s">
        <v>104</v>
      </c>
      <c r="B33" s="18" t="s">
        <v>105</v>
      </c>
      <c r="C33" s="18" t="s">
        <v>106</v>
      </c>
      <c r="D33" s="21">
        <v>50</v>
      </c>
      <c r="E33" s="21">
        <v>50</v>
      </c>
      <c r="F33" s="24" t="s">
        <v>30</v>
      </c>
      <c r="G33" s="18" t="str">
        <f t="shared" si="0"/>
        <v>Standard Price</v>
      </c>
      <c r="H33" s="21" t="str">
        <f>LEFT(Table1[[#This Row],[Product ID]],2)</f>
        <v>02</v>
      </c>
      <c r="I33" s="18" t="str">
        <f>RIGHT(Table1[[#This Row],[Product ID]],2)</f>
        <v>CA</v>
      </c>
      <c r="J33" s="15" t="str">
        <f>MID(Table1[[#This Row],[Product ID]],4,3)</f>
        <v>DEC</v>
      </c>
    </row>
    <row r="34" spans="1:10" ht="15.75" customHeight="1" x14ac:dyDescent="0.3">
      <c r="A34" s="14" t="s">
        <v>57</v>
      </c>
      <c r="B34" s="17" t="s">
        <v>24</v>
      </c>
      <c r="C34" s="17" t="s">
        <v>58</v>
      </c>
      <c r="D34" s="20">
        <v>950</v>
      </c>
      <c r="E34" s="20">
        <v>25</v>
      </c>
      <c r="F34" s="23" t="s">
        <v>26</v>
      </c>
      <c r="G34" s="17" t="str">
        <f t="shared" si="0"/>
        <v>High Price</v>
      </c>
      <c r="H34" s="20" t="str">
        <f>LEFT(Table1[[#This Row],[Product ID]],2)</f>
        <v>17</v>
      </c>
      <c r="I34" s="17" t="str">
        <f>RIGHT(Table1[[#This Row],[Product ID]],2)</f>
        <v>IN</v>
      </c>
      <c r="J34" s="14" t="str">
        <f>MID(Table1[[#This Row],[Product ID]],4,3)</f>
        <v>JUN</v>
      </c>
    </row>
    <row r="35" spans="1:10" ht="15.75" customHeight="1" x14ac:dyDescent="0.3">
      <c r="A35" s="16" t="s">
        <v>107</v>
      </c>
      <c r="B35" s="19" t="s">
        <v>108</v>
      </c>
      <c r="C35" s="19" t="s">
        <v>109</v>
      </c>
      <c r="D35" s="22">
        <v>100</v>
      </c>
      <c r="E35" s="22">
        <v>20</v>
      </c>
      <c r="F35" s="25" t="s">
        <v>70</v>
      </c>
      <c r="G35" s="19" t="str">
        <f t="shared" si="0"/>
        <v>Standard Price</v>
      </c>
      <c r="H35" s="22" t="str">
        <f>LEFT(Table1[[#This Row],[Product ID]],2)</f>
        <v>09</v>
      </c>
      <c r="I35" s="19" t="str">
        <f>RIGHT(Table1[[#This Row],[Product ID]],2)</f>
        <v>FR</v>
      </c>
      <c r="J35" s="16" t="str">
        <f>MID(Table1[[#This Row],[Product ID]],4,3)</f>
        <v>JUL</v>
      </c>
    </row>
    <row r="36" spans="1:10" ht="15.75" customHeight="1" x14ac:dyDescent="0.3">
      <c r="A36" s="31">
        <f>COUNTA(A2:A35)</f>
        <v>34</v>
      </c>
      <c r="B36" s="32" t="s">
        <v>111</v>
      </c>
      <c r="C36" s="32" t="s">
        <v>110</v>
      </c>
      <c r="D36" s="31">
        <f>SUBTOTAL(109,Table1[Price ($)])</f>
        <v>10100</v>
      </c>
    </row>
    <row r="37" spans="1:10" ht="15.75" customHeight="1" x14ac:dyDescent="0.3">
      <c r="C37" s="32" t="s">
        <v>112</v>
      </c>
      <c r="D37" s="31">
        <f>AVERAGE(D2:D35)</f>
        <v>297.05882352941177</v>
      </c>
    </row>
    <row r="38" spans="1:10" ht="15.75" customHeight="1" x14ac:dyDescent="0.3">
      <c r="C38" s="32" t="s">
        <v>113</v>
      </c>
      <c r="D38" s="31">
        <f>MIN(D2:D35)</f>
        <v>30</v>
      </c>
    </row>
    <row r="39" spans="1:10" ht="15.75" customHeight="1" x14ac:dyDescent="0.3">
      <c r="C39" s="32" t="s">
        <v>114</v>
      </c>
      <c r="D39" s="31">
        <f>MAX(D2:D35)</f>
        <v>1000</v>
      </c>
    </row>
    <row r="40" spans="1:10" ht="15.75" customHeight="1" x14ac:dyDescent="0.3">
      <c r="C40" s="32" t="s">
        <v>116</v>
      </c>
      <c r="D40" s="31">
        <f>SUMIF(F2:F35,"Electronics",D2:D35)</f>
        <v>8050</v>
      </c>
    </row>
    <row r="41" spans="1:10" ht="15.75" customHeight="1" x14ac:dyDescent="0.3">
      <c r="C41" s="32" t="s">
        <v>117</v>
      </c>
      <c r="D41" s="31">
        <f>COUNTIF(D2:D35,"&lt;100")</f>
        <v>11</v>
      </c>
    </row>
    <row r="42" spans="1:10" ht="15.75" customHeight="1" x14ac:dyDescent="0.3"/>
    <row r="43" spans="1:10" ht="15.75" customHeight="1" x14ac:dyDescent="0.3"/>
    <row r="44" spans="1:10" ht="15.75" customHeight="1" x14ac:dyDescent="0.3"/>
    <row r="45" spans="1:10" ht="15.75" customHeight="1" x14ac:dyDescent="0.3"/>
    <row r="46" spans="1:10" ht="15.75" customHeight="1" x14ac:dyDescent="0.3"/>
    <row r="47" spans="1:10" ht="15.75" customHeight="1" x14ac:dyDescent="0.3"/>
    <row r="48" spans="1:10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Assignment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nithya dharun</cp:lastModifiedBy>
  <dcterms:modified xsi:type="dcterms:W3CDTF">2025-12-24T09:01:00Z</dcterms:modified>
</cp:coreProperties>
</file>